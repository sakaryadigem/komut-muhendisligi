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 Verileri" sheetId="1" state="visible" r:id="rId1"/>
    <sheet xmlns:r="http://schemas.openxmlformats.org/officeDocument/2006/relationships" name="Özet Anali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₺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8" customWidth="1" min="11" max="11"/>
    <col width="12" customWidth="1" min="12" max="12"/>
    <col width="14" customWidth="1" min="13" max="13"/>
    <col width="11" customWidth="1" min="14" max="14"/>
    <col width="10" customWidth="1" min="15" max="15"/>
    <col width="14" customWidth="1" min="16" max="16"/>
  </cols>
  <sheetData>
    <row r="1">
      <c r="A1" s="1" t="inlineStr">
        <is>
          <t>Fatura No</t>
        </is>
      </c>
      <c r="B1" s="1" t="inlineStr">
        <is>
          <t>Tarih</t>
        </is>
      </c>
      <c r="C1" s="1" t="inlineStr">
        <is>
          <t>Hane No</t>
        </is>
      </c>
      <c r="D1" s="1" t="inlineStr">
        <is>
          <t>Müşteri Adı</t>
        </is>
      </c>
      <c r="E1" s="1" t="inlineStr">
        <is>
          <t>İl</t>
        </is>
      </c>
      <c r="F1" s="1" t="inlineStr">
        <is>
          <t>İlçe</t>
        </is>
      </c>
      <c r="G1" s="1" t="inlineStr">
        <is>
          <t>Fatura Tipi</t>
        </is>
      </c>
      <c r="H1" s="1" t="inlineStr">
        <is>
          <t>Önceki Okuması</t>
        </is>
      </c>
      <c r="I1" s="1" t="inlineStr">
        <is>
          <t>Şimdiki Okuması</t>
        </is>
      </c>
      <c r="J1" s="1" t="inlineStr">
        <is>
          <t>Tüketim Miktarı</t>
        </is>
      </c>
      <c r="K1" s="1" t="inlineStr">
        <is>
          <t>Birim</t>
        </is>
      </c>
      <c r="L1" s="1" t="inlineStr">
        <is>
          <t>Birim Fiyat</t>
        </is>
      </c>
      <c r="M1" s="1" t="inlineStr">
        <is>
          <t>Tüketim Ücreti</t>
        </is>
      </c>
      <c r="N1" s="1" t="inlineStr">
        <is>
          <t>Sabit Ücret</t>
        </is>
      </c>
      <c r="O1" s="1" t="inlineStr">
        <is>
          <t>Vergi</t>
        </is>
      </c>
      <c r="P1" s="1" t="inlineStr">
        <is>
          <t>Toplam Fatura</t>
        </is>
      </c>
    </row>
    <row r="2">
      <c r="A2" s="2" t="inlineStr">
        <is>
          <t>FTR20241001</t>
        </is>
      </c>
      <c r="B2" s="2" t="inlineStr">
        <is>
          <t>01.01.2024</t>
        </is>
      </c>
      <c r="C2" s="2" t="inlineStr">
        <is>
          <t>H34001</t>
        </is>
      </c>
      <c r="D2" s="2" t="inlineStr">
        <is>
          <t>Hasan Özdemir</t>
        </is>
      </c>
      <c r="E2" s="2" t="inlineStr">
        <is>
          <t>İzmir</t>
        </is>
      </c>
      <c r="F2" s="2" t="inlineStr">
        <is>
          <t>Gaziemir</t>
        </is>
      </c>
      <c r="G2" s="2" t="inlineStr">
        <is>
          <t>Elektrik</t>
        </is>
      </c>
      <c r="H2" s="3" t="n">
        <v>47388</v>
      </c>
      <c r="I2" s="3" t="n">
        <v>47594</v>
      </c>
      <c r="J2" s="3" t="n">
        <v>206</v>
      </c>
      <c r="K2" s="2" t="inlineStr">
        <is>
          <t>kWh</t>
        </is>
      </c>
      <c r="L2" s="4" t="n">
        <v>8.390000000000001</v>
      </c>
      <c r="M2" s="4" t="n">
        <v>1728.34</v>
      </c>
      <c r="N2" s="4" t="n">
        <v>25</v>
      </c>
      <c r="O2" s="4" t="n">
        <v>315.6</v>
      </c>
      <c r="P2" s="4" t="n">
        <v>2068.94</v>
      </c>
    </row>
    <row r="3">
      <c r="A3" s="2" t="inlineStr">
        <is>
          <t>FTR20241002</t>
        </is>
      </c>
      <c r="B3" s="2" t="inlineStr">
        <is>
          <t>04.01.2024</t>
        </is>
      </c>
      <c r="C3" s="2" t="inlineStr">
        <is>
          <t>H34002</t>
        </is>
      </c>
      <c r="D3" s="2" t="inlineStr">
        <is>
          <t>Nurgül Kılıç</t>
        </is>
      </c>
      <c r="E3" s="2" t="inlineStr">
        <is>
          <t>Antalya</t>
        </is>
      </c>
      <c r="F3" s="2" t="inlineStr">
        <is>
          <t>Merkez</t>
        </is>
      </c>
      <c r="G3" s="2" t="inlineStr">
        <is>
          <t>Elektrik</t>
        </is>
      </c>
      <c r="H3" s="3" t="n">
        <v>13749</v>
      </c>
      <c r="I3" s="3" t="n">
        <v>14310</v>
      </c>
      <c r="J3" s="3" t="n">
        <v>561</v>
      </c>
      <c r="K3" s="2" t="inlineStr">
        <is>
          <t>kWh</t>
        </is>
      </c>
      <c r="L3" s="4" t="n">
        <v>5.94</v>
      </c>
      <c r="M3" s="4" t="n">
        <v>3332.34</v>
      </c>
      <c r="N3" s="4" t="n">
        <v>25</v>
      </c>
      <c r="O3" s="4" t="n">
        <v>604.3200000000001</v>
      </c>
      <c r="P3" s="4" t="n">
        <v>3961.66</v>
      </c>
    </row>
    <row r="4">
      <c r="A4" s="2" t="inlineStr">
        <is>
          <t>FTR20241003</t>
        </is>
      </c>
      <c r="B4" s="2" t="inlineStr">
        <is>
          <t>07.01.2024</t>
        </is>
      </c>
      <c r="C4" s="2" t="inlineStr">
        <is>
          <t>H34003</t>
        </is>
      </c>
      <c r="D4" s="2" t="inlineStr">
        <is>
          <t>Ayşe Demirel</t>
        </is>
      </c>
      <c r="E4" s="2" t="inlineStr">
        <is>
          <t>İzmir</t>
        </is>
      </c>
      <c r="F4" s="2" t="inlineStr">
        <is>
          <t>Gaziemir</t>
        </is>
      </c>
      <c r="G4" s="2" t="inlineStr">
        <is>
          <t>Su</t>
        </is>
      </c>
      <c r="H4" s="3" t="n">
        <v>1252</v>
      </c>
      <c r="I4" s="3" t="n">
        <v>1384</v>
      </c>
      <c r="J4" s="3" t="n">
        <v>132</v>
      </c>
      <c r="K4" s="2" t="inlineStr">
        <is>
          <t>m³</t>
        </is>
      </c>
      <c r="L4" s="4" t="n">
        <v>8.74</v>
      </c>
      <c r="M4" s="4" t="n">
        <v>1153.68</v>
      </c>
      <c r="N4" s="4" t="n">
        <v>15.5</v>
      </c>
      <c r="O4" s="4" t="n">
        <v>210.45</v>
      </c>
      <c r="P4" s="4" t="n">
        <v>1379.63</v>
      </c>
    </row>
    <row r="5">
      <c r="A5" s="2" t="inlineStr">
        <is>
          <t>FTR20241004</t>
        </is>
      </c>
      <c r="B5" s="2" t="inlineStr">
        <is>
          <t>10.01.2024</t>
        </is>
      </c>
      <c r="C5" s="2" t="inlineStr">
        <is>
          <t>H34004</t>
        </is>
      </c>
      <c r="D5" s="2" t="inlineStr">
        <is>
          <t>Gülbahar Şimşek</t>
        </is>
      </c>
      <c r="E5" s="2" t="inlineStr">
        <is>
          <t>Bursa</t>
        </is>
      </c>
      <c r="F5" s="2" t="inlineStr">
        <is>
          <t>Merkez</t>
        </is>
      </c>
      <c r="G5" s="2" t="inlineStr">
        <is>
          <t>Elektrik</t>
        </is>
      </c>
      <c r="H5" s="3" t="n">
        <v>46530</v>
      </c>
      <c r="I5" s="3" t="n">
        <v>47263</v>
      </c>
      <c r="J5" s="3" t="n">
        <v>733</v>
      </c>
      <c r="K5" s="2" t="inlineStr">
        <is>
          <t>kWh</t>
        </is>
      </c>
      <c r="L5" s="4" t="n">
        <v>6.81</v>
      </c>
      <c r="M5" s="4" t="n">
        <v>4991.73</v>
      </c>
      <c r="N5" s="4" t="n">
        <v>25</v>
      </c>
      <c r="O5" s="4" t="n">
        <v>903.01</v>
      </c>
      <c r="P5" s="4" t="n">
        <v>5919.74</v>
      </c>
    </row>
    <row r="6">
      <c r="A6" s="2" t="inlineStr">
        <is>
          <t>FTR20241005</t>
        </is>
      </c>
      <c r="B6" s="2" t="inlineStr">
        <is>
          <t>13.01.2024</t>
        </is>
      </c>
      <c r="C6" s="2" t="inlineStr">
        <is>
          <t>H34005</t>
        </is>
      </c>
      <c r="D6" s="2" t="inlineStr">
        <is>
          <t>Zeynep Arslan</t>
        </is>
      </c>
      <c r="E6" s="2" t="inlineStr">
        <is>
          <t>İzmir</t>
        </is>
      </c>
      <c r="F6" s="2" t="inlineStr">
        <is>
          <t>Alsancak</t>
        </is>
      </c>
      <c r="G6" s="2" t="inlineStr">
        <is>
          <t>Elektrik</t>
        </is>
      </c>
      <c r="H6" s="3" t="n">
        <v>2186</v>
      </c>
      <c r="I6" s="3" t="n">
        <v>2371</v>
      </c>
      <c r="J6" s="3" t="n">
        <v>185</v>
      </c>
      <c r="K6" s="2" t="inlineStr">
        <is>
          <t>kWh</t>
        </is>
      </c>
      <c r="L6" s="4" t="n">
        <v>6.41</v>
      </c>
      <c r="M6" s="4" t="n">
        <v>1185.85</v>
      </c>
      <c r="N6" s="4" t="n">
        <v>25</v>
      </c>
      <c r="O6" s="4" t="n">
        <v>217.95</v>
      </c>
      <c r="P6" s="4" t="n">
        <v>1428.8</v>
      </c>
    </row>
    <row r="7">
      <c r="A7" s="2" t="inlineStr">
        <is>
          <t>FTR20241006</t>
        </is>
      </c>
      <c r="B7" s="2" t="inlineStr">
        <is>
          <t>16.01.2024</t>
        </is>
      </c>
      <c r="C7" s="2" t="inlineStr">
        <is>
          <t>H34006</t>
        </is>
      </c>
      <c r="D7" s="2" t="inlineStr">
        <is>
          <t>Gülbahar Şimşek</t>
        </is>
      </c>
      <c r="E7" s="2" t="inlineStr">
        <is>
          <t>Konya</t>
        </is>
      </c>
      <c r="F7" s="2" t="inlineStr">
        <is>
          <t>Merkez</t>
        </is>
      </c>
      <c r="G7" s="2" t="inlineStr">
        <is>
          <t>Su</t>
        </is>
      </c>
      <c r="H7" s="3" t="n">
        <v>1079</v>
      </c>
      <c r="I7" s="3" t="n">
        <v>1220</v>
      </c>
      <c r="J7" s="3" t="n">
        <v>141</v>
      </c>
      <c r="K7" s="2" t="inlineStr">
        <is>
          <t>m³</t>
        </is>
      </c>
      <c r="L7" s="4" t="n">
        <v>12.13</v>
      </c>
      <c r="M7" s="4" t="n">
        <v>1710.33</v>
      </c>
      <c r="N7" s="4" t="n">
        <v>15.5</v>
      </c>
      <c r="O7" s="4" t="n">
        <v>310.65</v>
      </c>
      <c r="P7" s="4" t="n">
        <v>2036.48</v>
      </c>
    </row>
    <row r="8">
      <c r="A8" s="2" t="inlineStr">
        <is>
          <t>FTR20241007</t>
        </is>
      </c>
      <c r="B8" s="2" t="inlineStr">
        <is>
          <t>19.01.2024</t>
        </is>
      </c>
      <c r="C8" s="2" t="inlineStr">
        <is>
          <t>H34007</t>
        </is>
      </c>
      <c r="D8" s="2" t="inlineStr">
        <is>
          <t>Fatma Şahin</t>
        </is>
      </c>
      <c r="E8" s="2" t="inlineStr">
        <is>
          <t>Gaziantep</t>
        </is>
      </c>
      <c r="F8" s="2" t="inlineStr">
        <is>
          <t>Merkez</t>
        </is>
      </c>
      <c r="G8" s="2" t="inlineStr">
        <is>
          <t>Su</t>
        </is>
      </c>
      <c r="H8" s="3" t="n">
        <v>647</v>
      </c>
      <c r="I8" s="3" t="n">
        <v>716</v>
      </c>
      <c r="J8" s="3" t="n">
        <v>69</v>
      </c>
      <c r="K8" s="2" t="inlineStr">
        <is>
          <t>m³</t>
        </is>
      </c>
      <c r="L8" s="4" t="n">
        <v>10.51</v>
      </c>
      <c r="M8" s="4" t="n">
        <v>725.1899999999999</v>
      </c>
      <c r="N8" s="4" t="n">
        <v>15.5</v>
      </c>
      <c r="O8" s="4" t="n">
        <v>133.32</v>
      </c>
      <c r="P8" s="4" t="n">
        <v>874.01</v>
      </c>
    </row>
    <row r="9">
      <c r="A9" s="2" t="inlineStr">
        <is>
          <t>FTR20241008</t>
        </is>
      </c>
      <c r="B9" s="2" t="inlineStr">
        <is>
          <t>22.01.2024</t>
        </is>
      </c>
      <c r="C9" s="2" t="inlineStr">
        <is>
          <t>H34008</t>
        </is>
      </c>
      <c r="D9" s="2" t="inlineStr">
        <is>
          <t>Zeynep Arslan</t>
        </is>
      </c>
      <c r="E9" s="2" t="inlineStr">
        <is>
          <t>Gaziantep</t>
        </is>
      </c>
      <c r="F9" s="2" t="inlineStr">
        <is>
          <t>Merkez</t>
        </is>
      </c>
      <c r="G9" s="2" t="inlineStr">
        <is>
          <t>Su</t>
        </is>
      </c>
      <c r="H9" s="3" t="n">
        <v>3023</v>
      </c>
      <c r="I9" s="3" t="n">
        <v>3047</v>
      </c>
      <c r="J9" s="3" t="n">
        <v>24</v>
      </c>
      <c r="K9" s="2" t="inlineStr">
        <is>
          <t>m³</t>
        </is>
      </c>
      <c r="L9" s="4" t="n">
        <v>11.26</v>
      </c>
      <c r="M9" s="4" t="n">
        <v>270.24</v>
      </c>
      <c r="N9" s="4" t="n">
        <v>15.5</v>
      </c>
      <c r="O9" s="4" t="n">
        <v>51.43</v>
      </c>
      <c r="P9" s="4" t="n">
        <v>337.17</v>
      </c>
    </row>
    <row r="10">
      <c r="A10" s="2" t="inlineStr">
        <is>
          <t>FTR20241009</t>
        </is>
      </c>
      <c r="B10" s="2" t="inlineStr">
        <is>
          <t>25.01.2024</t>
        </is>
      </c>
      <c r="C10" s="2" t="inlineStr">
        <is>
          <t>H34009</t>
        </is>
      </c>
      <c r="D10" s="2" t="inlineStr">
        <is>
          <t>Ayşe Demirel</t>
        </is>
      </c>
      <c r="E10" s="2" t="inlineStr">
        <is>
          <t>Antalya</t>
        </is>
      </c>
      <c r="F10" s="2" t="inlineStr">
        <is>
          <t>Merkez</t>
        </is>
      </c>
      <c r="G10" s="2" t="inlineStr">
        <is>
          <t>Su</t>
        </is>
      </c>
      <c r="H10" s="3" t="n">
        <v>1795</v>
      </c>
      <c r="I10" s="3" t="n">
        <v>1831</v>
      </c>
      <c r="J10" s="3" t="n">
        <v>36</v>
      </c>
      <c r="K10" s="2" t="inlineStr">
        <is>
          <t>m³</t>
        </is>
      </c>
      <c r="L10" s="4" t="n">
        <v>11.5</v>
      </c>
      <c r="M10" s="4" t="n">
        <v>414</v>
      </c>
      <c r="N10" s="4" t="n">
        <v>15.5</v>
      </c>
      <c r="O10" s="4" t="n">
        <v>77.31</v>
      </c>
      <c r="P10" s="4" t="n">
        <v>506.81</v>
      </c>
    </row>
    <row r="11">
      <c r="A11" s="2" t="inlineStr">
        <is>
          <t>FTR20241010</t>
        </is>
      </c>
      <c r="B11" s="2" t="inlineStr">
        <is>
          <t>28.01.2024</t>
        </is>
      </c>
      <c r="C11" s="2" t="inlineStr">
        <is>
          <t>H34010</t>
        </is>
      </c>
      <c r="D11" s="2" t="inlineStr">
        <is>
          <t>Zeynep Arslan</t>
        </is>
      </c>
      <c r="E11" s="2" t="inlineStr">
        <is>
          <t>Bursa</t>
        </is>
      </c>
      <c r="F11" s="2" t="inlineStr">
        <is>
          <t>Merkez</t>
        </is>
      </c>
      <c r="G11" s="2" t="inlineStr">
        <is>
          <t>Doğalgaz</t>
        </is>
      </c>
      <c r="H11" s="3" t="n">
        <v>1397</v>
      </c>
      <c r="I11" s="3" t="n">
        <v>1740</v>
      </c>
      <c r="J11" s="3" t="n">
        <v>343</v>
      </c>
      <c r="K11" s="2" t="inlineStr">
        <is>
          <t>m³</t>
        </is>
      </c>
      <c r="L11" s="4" t="n">
        <v>5.76</v>
      </c>
      <c r="M11" s="4" t="n">
        <v>1975.68</v>
      </c>
      <c r="N11" s="4" t="n">
        <v>12</v>
      </c>
      <c r="O11" s="4" t="n">
        <v>357.78</v>
      </c>
      <c r="P11" s="4" t="n">
        <v>2345.46</v>
      </c>
    </row>
    <row r="12">
      <c r="A12" s="2" t="inlineStr">
        <is>
          <t>FTR20241011</t>
        </is>
      </c>
      <c r="B12" s="2" t="inlineStr">
        <is>
          <t>31.01.2024</t>
        </is>
      </c>
      <c r="C12" s="2" t="inlineStr">
        <is>
          <t>H34011</t>
        </is>
      </c>
      <c r="D12" s="2" t="inlineStr">
        <is>
          <t>Ayşe Demirel</t>
        </is>
      </c>
      <c r="E12" s="2" t="inlineStr">
        <is>
          <t>İzmir</t>
        </is>
      </c>
      <c r="F12" s="2" t="inlineStr">
        <is>
          <t>Balçova</t>
        </is>
      </c>
      <c r="G12" s="2" t="inlineStr">
        <is>
          <t>Su</t>
        </is>
      </c>
      <c r="H12" s="3" t="n">
        <v>2336</v>
      </c>
      <c r="I12" s="3" t="n">
        <v>2455</v>
      </c>
      <c r="J12" s="3" t="n">
        <v>119</v>
      </c>
      <c r="K12" s="2" t="inlineStr">
        <is>
          <t>m³</t>
        </is>
      </c>
      <c r="L12" s="4" t="n">
        <v>10.69</v>
      </c>
      <c r="M12" s="4" t="n">
        <v>1272.11</v>
      </c>
      <c r="N12" s="4" t="n">
        <v>15.5</v>
      </c>
      <c r="O12" s="4" t="n">
        <v>231.77</v>
      </c>
      <c r="P12" s="4" t="n">
        <v>1519.38</v>
      </c>
    </row>
    <row r="13">
      <c r="A13" s="2" t="inlineStr">
        <is>
          <t>FTR20241012</t>
        </is>
      </c>
      <c r="B13" s="2" t="inlineStr">
        <is>
          <t>03.02.2024</t>
        </is>
      </c>
      <c r="C13" s="2" t="inlineStr">
        <is>
          <t>H34012</t>
        </is>
      </c>
      <c r="D13" s="2" t="inlineStr">
        <is>
          <t>Ayşe Demirel</t>
        </is>
      </c>
      <c r="E13" s="2" t="inlineStr">
        <is>
          <t>Antalya</t>
        </is>
      </c>
      <c r="F13" s="2" t="inlineStr">
        <is>
          <t>Merkez</t>
        </is>
      </c>
      <c r="G13" s="2" t="inlineStr">
        <is>
          <t>Su</t>
        </is>
      </c>
      <c r="H13" s="3" t="n">
        <v>3082</v>
      </c>
      <c r="I13" s="3" t="n">
        <v>3114</v>
      </c>
      <c r="J13" s="3" t="n">
        <v>32</v>
      </c>
      <c r="K13" s="2" t="inlineStr">
        <is>
          <t>m³</t>
        </is>
      </c>
      <c r="L13" s="4" t="n">
        <v>11.48</v>
      </c>
      <c r="M13" s="4" t="n">
        <v>367.36</v>
      </c>
      <c r="N13" s="4" t="n">
        <v>15.5</v>
      </c>
      <c r="O13" s="4" t="n">
        <v>68.91</v>
      </c>
      <c r="P13" s="4" t="n">
        <v>451.77</v>
      </c>
    </row>
    <row r="14">
      <c r="A14" s="2" t="inlineStr">
        <is>
          <t>FTR20241013</t>
        </is>
      </c>
      <c r="B14" s="2" t="inlineStr">
        <is>
          <t>06.02.2024</t>
        </is>
      </c>
      <c r="C14" s="2" t="inlineStr">
        <is>
          <t>H34013</t>
        </is>
      </c>
      <c r="D14" s="2" t="inlineStr">
        <is>
          <t>Fatma Şahin</t>
        </is>
      </c>
      <c r="E14" s="2" t="inlineStr">
        <is>
          <t>Gaziantep</t>
        </is>
      </c>
      <c r="F14" s="2" t="inlineStr">
        <is>
          <t>Merkez</t>
        </is>
      </c>
      <c r="G14" s="2" t="inlineStr">
        <is>
          <t>Elektrik</t>
        </is>
      </c>
      <c r="H14" s="3" t="n">
        <v>36072</v>
      </c>
      <c r="I14" s="3" t="n">
        <v>36679</v>
      </c>
      <c r="J14" s="3" t="n">
        <v>607</v>
      </c>
      <c r="K14" s="2" t="inlineStr">
        <is>
          <t>kWh</t>
        </is>
      </c>
      <c r="L14" s="4" t="n">
        <v>7.43</v>
      </c>
      <c r="M14" s="4" t="n">
        <v>4510.01</v>
      </c>
      <c r="N14" s="4" t="n">
        <v>25</v>
      </c>
      <c r="O14" s="4" t="n">
        <v>816.3</v>
      </c>
      <c r="P14" s="4" t="n">
        <v>5351.31</v>
      </c>
    </row>
    <row r="15">
      <c r="A15" s="2" t="inlineStr">
        <is>
          <t>FTR20241014</t>
        </is>
      </c>
      <c r="B15" s="2" t="inlineStr">
        <is>
          <t>09.02.2024</t>
        </is>
      </c>
      <c r="C15" s="2" t="inlineStr">
        <is>
          <t>H34014</t>
        </is>
      </c>
      <c r="D15" s="2" t="inlineStr">
        <is>
          <t>Ayşe Demirel</t>
        </is>
      </c>
      <c r="E15" s="2" t="inlineStr">
        <is>
          <t>İzmir</t>
        </is>
      </c>
      <c r="F15" s="2" t="inlineStr">
        <is>
          <t>Konak</t>
        </is>
      </c>
      <c r="G15" s="2" t="inlineStr">
        <is>
          <t>Doğalgaz</t>
        </is>
      </c>
      <c r="H15" s="3" t="n">
        <v>11057</v>
      </c>
      <c r="I15" s="3" t="n">
        <v>11318</v>
      </c>
      <c r="J15" s="3" t="n">
        <v>261</v>
      </c>
      <c r="K15" s="2" t="inlineStr">
        <is>
          <t>m³</t>
        </is>
      </c>
      <c r="L15" s="4" t="n">
        <v>5.94</v>
      </c>
      <c r="M15" s="4" t="n">
        <v>1550.34</v>
      </c>
      <c r="N15" s="4" t="n">
        <v>12</v>
      </c>
      <c r="O15" s="4" t="n">
        <v>281.22</v>
      </c>
      <c r="P15" s="4" t="n">
        <v>1843.56</v>
      </c>
    </row>
    <row r="16">
      <c r="A16" s="2" t="inlineStr">
        <is>
          <t>FTR20241015</t>
        </is>
      </c>
      <c r="B16" s="2" t="inlineStr">
        <is>
          <t>12.02.2024</t>
        </is>
      </c>
      <c r="C16" s="2" t="inlineStr">
        <is>
          <t>H34015</t>
        </is>
      </c>
      <c r="D16" s="2" t="inlineStr">
        <is>
          <t>Gülbahar Şimşek</t>
        </is>
      </c>
      <c r="E16" s="2" t="inlineStr">
        <is>
          <t>İstanbul</t>
        </is>
      </c>
      <c r="F16" s="2" t="inlineStr">
        <is>
          <t>Şişli</t>
        </is>
      </c>
      <c r="G16" s="2" t="inlineStr">
        <is>
          <t>Elektrik</t>
        </is>
      </c>
      <c r="H16" s="3" t="n">
        <v>37276</v>
      </c>
      <c r="I16" s="3" t="n">
        <v>37496</v>
      </c>
      <c r="J16" s="3" t="n">
        <v>220</v>
      </c>
      <c r="K16" s="2" t="inlineStr">
        <is>
          <t>kWh</t>
        </is>
      </c>
      <c r="L16" s="4" t="n">
        <v>8.199999999999999</v>
      </c>
      <c r="M16" s="4" t="n">
        <v>1804</v>
      </c>
      <c r="N16" s="4" t="n">
        <v>25</v>
      </c>
      <c r="O16" s="4" t="n">
        <v>329.22</v>
      </c>
      <c r="P16" s="4" t="n">
        <v>2158.22</v>
      </c>
    </row>
    <row r="17">
      <c r="A17" s="2" t="inlineStr">
        <is>
          <t>FTR20241016</t>
        </is>
      </c>
      <c r="B17" s="2" t="inlineStr">
        <is>
          <t>15.02.2024</t>
        </is>
      </c>
      <c r="C17" s="2" t="inlineStr">
        <is>
          <t>H34016</t>
        </is>
      </c>
      <c r="D17" s="2" t="inlineStr">
        <is>
          <t>Mehmet Kaya</t>
        </is>
      </c>
      <c r="E17" s="2" t="inlineStr">
        <is>
          <t>Gaziantep</t>
        </is>
      </c>
      <c r="F17" s="2" t="inlineStr">
        <is>
          <t>Merkez</t>
        </is>
      </c>
      <c r="G17" s="2" t="inlineStr">
        <is>
          <t>Elektrik</t>
        </is>
      </c>
      <c r="H17" s="3" t="n">
        <v>31517</v>
      </c>
      <c r="I17" s="3" t="n">
        <v>31942</v>
      </c>
      <c r="J17" s="3" t="n">
        <v>425</v>
      </c>
      <c r="K17" s="2" t="inlineStr">
        <is>
          <t>kWh</t>
        </is>
      </c>
      <c r="L17" s="4" t="n">
        <v>5.73</v>
      </c>
      <c r="M17" s="4" t="n">
        <v>2435.25</v>
      </c>
      <c r="N17" s="4" t="n">
        <v>25</v>
      </c>
      <c r="O17" s="4" t="n">
        <v>442.84</v>
      </c>
      <c r="P17" s="4" t="n">
        <v>2903.09</v>
      </c>
    </row>
    <row r="18">
      <c r="A18" s="2" t="inlineStr">
        <is>
          <t>FTR20241017</t>
        </is>
      </c>
      <c r="B18" s="2" t="inlineStr">
        <is>
          <t>18.02.2024</t>
        </is>
      </c>
      <c r="C18" s="2" t="inlineStr">
        <is>
          <t>H34017</t>
        </is>
      </c>
      <c r="D18" s="2" t="inlineStr">
        <is>
          <t>İbrahim Koçak</t>
        </is>
      </c>
      <c r="E18" s="2" t="inlineStr">
        <is>
          <t>Konya</t>
        </is>
      </c>
      <c r="F18" s="2" t="inlineStr">
        <is>
          <t>Merkez</t>
        </is>
      </c>
      <c r="G18" s="2" t="inlineStr">
        <is>
          <t>Doğalgaz</t>
        </is>
      </c>
      <c r="H18" s="3" t="n">
        <v>8449</v>
      </c>
      <c r="I18" s="3" t="n">
        <v>8602</v>
      </c>
      <c r="J18" s="3" t="n">
        <v>153</v>
      </c>
      <c r="K18" s="2" t="inlineStr">
        <is>
          <t>m³</t>
        </is>
      </c>
      <c r="L18" s="4" t="n">
        <v>5.35</v>
      </c>
      <c r="M18" s="4" t="n">
        <v>818.55</v>
      </c>
      <c r="N18" s="4" t="n">
        <v>12</v>
      </c>
      <c r="O18" s="4" t="n">
        <v>149.5</v>
      </c>
      <c r="P18" s="4" t="n">
        <v>980.05</v>
      </c>
    </row>
    <row r="19">
      <c r="A19" s="2" t="inlineStr">
        <is>
          <t>FTR20241018</t>
        </is>
      </c>
      <c r="B19" s="2" t="inlineStr">
        <is>
          <t>21.02.2024</t>
        </is>
      </c>
      <c r="C19" s="2" t="inlineStr">
        <is>
          <t>H34018</t>
        </is>
      </c>
      <c r="D19" s="2" t="inlineStr">
        <is>
          <t>Kadir Doğan</t>
        </is>
      </c>
      <c r="E19" s="2" t="inlineStr">
        <is>
          <t>Adana</t>
        </is>
      </c>
      <c r="F19" s="2" t="inlineStr">
        <is>
          <t>Merkez</t>
        </is>
      </c>
      <c r="G19" s="2" t="inlineStr">
        <is>
          <t>Elektrik</t>
        </is>
      </c>
      <c r="H19" s="3" t="n">
        <v>22400</v>
      </c>
      <c r="I19" s="3" t="n">
        <v>23194</v>
      </c>
      <c r="J19" s="3" t="n">
        <v>794</v>
      </c>
      <c r="K19" s="2" t="inlineStr">
        <is>
          <t>kWh</t>
        </is>
      </c>
      <c r="L19" s="4" t="n">
        <v>6.92</v>
      </c>
      <c r="M19" s="4" t="n">
        <v>5494.48</v>
      </c>
      <c r="N19" s="4" t="n">
        <v>25</v>
      </c>
      <c r="O19" s="4" t="n">
        <v>993.51</v>
      </c>
      <c r="P19" s="4" t="n">
        <v>6512.99</v>
      </c>
    </row>
    <row r="20">
      <c r="A20" s="2" t="inlineStr">
        <is>
          <t>FTR20241019</t>
        </is>
      </c>
      <c r="B20" s="2" t="inlineStr">
        <is>
          <t>24.02.2024</t>
        </is>
      </c>
      <c r="C20" s="2" t="inlineStr">
        <is>
          <t>H34019</t>
        </is>
      </c>
      <c r="D20" s="2" t="inlineStr">
        <is>
          <t>Fatma Şahin</t>
        </is>
      </c>
      <c r="E20" s="2" t="inlineStr">
        <is>
          <t>Konya</t>
        </is>
      </c>
      <c r="F20" s="2" t="inlineStr">
        <is>
          <t>Merkez</t>
        </is>
      </c>
      <c r="G20" s="2" t="inlineStr">
        <is>
          <t>Elektrik</t>
        </is>
      </c>
      <c r="H20" s="3" t="n">
        <v>49781</v>
      </c>
      <c r="I20" s="3" t="n">
        <v>50320</v>
      </c>
      <c r="J20" s="3" t="n">
        <v>539</v>
      </c>
      <c r="K20" s="2" t="inlineStr">
        <is>
          <t>kWh</t>
        </is>
      </c>
      <c r="L20" s="4" t="n">
        <v>4.8</v>
      </c>
      <c r="M20" s="4" t="n">
        <v>2587.2</v>
      </c>
      <c r="N20" s="4" t="n">
        <v>25</v>
      </c>
      <c r="O20" s="4" t="n">
        <v>470.2</v>
      </c>
      <c r="P20" s="4" t="n">
        <v>3082.4</v>
      </c>
    </row>
    <row r="21">
      <c r="A21" s="2" t="inlineStr">
        <is>
          <t>FTR20241020</t>
        </is>
      </c>
      <c r="B21" s="2" t="inlineStr">
        <is>
          <t>27.02.2024</t>
        </is>
      </c>
      <c r="C21" s="2" t="inlineStr">
        <is>
          <t>H34020</t>
        </is>
      </c>
      <c r="D21" s="2" t="inlineStr">
        <is>
          <t>Fatma Şahin</t>
        </is>
      </c>
      <c r="E21" s="2" t="inlineStr">
        <is>
          <t>Antalya</t>
        </is>
      </c>
      <c r="F21" s="2" t="inlineStr">
        <is>
          <t>Merkez</t>
        </is>
      </c>
      <c r="G21" s="2" t="inlineStr">
        <is>
          <t>Doğalgaz</t>
        </is>
      </c>
      <c r="H21" s="3" t="n">
        <v>586</v>
      </c>
      <c r="I21" s="3" t="n">
        <v>997</v>
      </c>
      <c r="J21" s="3" t="n">
        <v>411</v>
      </c>
      <c r="K21" s="2" t="inlineStr">
        <is>
          <t>m³</t>
        </is>
      </c>
      <c r="L21" s="4" t="n">
        <v>4.84</v>
      </c>
      <c r="M21" s="4" t="n">
        <v>1989.24</v>
      </c>
      <c r="N21" s="4" t="n">
        <v>12</v>
      </c>
      <c r="O21" s="4" t="n">
        <v>360.22</v>
      </c>
      <c r="P21" s="4" t="n">
        <v>2361.46</v>
      </c>
    </row>
    <row r="22">
      <c r="A22" s="2" t="inlineStr">
        <is>
          <t>FTR20241021</t>
        </is>
      </c>
      <c r="B22" s="2" t="inlineStr">
        <is>
          <t>01.03.2024</t>
        </is>
      </c>
      <c r="C22" s="2" t="inlineStr">
        <is>
          <t>H34021</t>
        </is>
      </c>
      <c r="D22" s="2" t="inlineStr">
        <is>
          <t>Hasan Özdemir</t>
        </is>
      </c>
      <c r="E22" s="2" t="inlineStr">
        <is>
          <t>Ankara</t>
        </is>
      </c>
      <c r="F22" s="2" t="inlineStr">
        <is>
          <t>Çankaya</t>
        </is>
      </c>
      <c r="G22" s="2" t="inlineStr">
        <is>
          <t>Su</t>
        </is>
      </c>
      <c r="H22" s="3" t="n">
        <v>4064</v>
      </c>
      <c r="I22" s="3" t="n">
        <v>4210</v>
      </c>
      <c r="J22" s="3" t="n">
        <v>146</v>
      </c>
      <c r="K22" s="2" t="inlineStr">
        <is>
          <t>m³</t>
        </is>
      </c>
      <c r="L22" s="4" t="n">
        <v>9.65</v>
      </c>
      <c r="M22" s="4" t="n">
        <v>1408.9</v>
      </c>
      <c r="N22" s="4" t="n">
        <v>15.5</v>
      </c>
      <c r="O22" s="4" t="n">
        <v>256.39</v>
      </c>
      <c r="P22" s="4" t="n">
        <v>1680.79</v>
      </c>
    </row>
    <row r="23">
      <c r="A23" s="2" t="inlineStr">
        <is>
          <t>FTR20241022</t>
        </is>
      </c>
      <c r="B23" s="2" t="inlineStr">
        <is>
          <t>04.03.2024</t>
        </is>
      </c>
      <c r="C23" s="2" t="inlineStr">
        <is>
          <t>H34022</t>
        </is>
      </c>
      <c r="D23" s="2" t="inlineStr">
        <is>
          <t>Ahmet Yılmaz</t>
        </is>
      </c>
      <c r="E23" s="2" t="inlineStr">
        <is>
          <t>Antalya</t>
        </is>
      </c>
      <c r="F23" s="2" t="inlineStr">
        <is>
          <t>Merkez</t>
        </is>
      </c>
      <c r="G23" s="2" t="inlineStr">
        <is>
          <t>Elektrik</t>
        </is>
      </c>
      <c r="H23" s="3" t="n">
        <v>28745</v>
      </c>
      <c r="I23" s="3" t="n">
        <v>29255</v>
      </c>
      <c r="J23" s="3" t="n">
        <v>510</v>
      </c>
      <c r="K23" s="2" t="inlineStr">
        <is>
          <t>kWh</t>
        </is>
      </c>
      <c r="L23" s="4" t="n">
        <v>7.44</v>
      </c>
      <c r="M23" s="4" t="n">
        <v>3794.4</v>
      </c>
      <c r="N23" s="4" t="n">
        <v>25</v>
      </c>
      <c r="O23" s="4" t="n">
        <v>687.49</v>
      </c>
      <c r="P23" s="4" t="n">
        <v>4506.89</v>
      </c>
    </row>
    <row r="24">
      <c r="A24" s="2" t="inlineStr">
        <is>
          <t>FTR20241023</t>
        </is>
      </c>
      <c r="B24" s="2" t="inlineStr">
        <is>
          <t>07.03.2024</t>
        </is>
      </c>
      <c r="C24" s="2" t="inlineStr">
        <is>
          <t>H34023</t>
        </is>
      </c>
      <c r="D24" s="2" t="inlineStr">
        <is>
          <t>Ahmet Yılmaz</t>
        </is>
      </c>
      <c r="E24" s="2" t="inlineStr">
        <is>
          <t>Konya</t>
        </is>
      </c>
      <c r="F24" s="2" t="inlineStr">
        <is>
          <t>Merkez</t>
        </is>
      </c>
      <c r="G24" s="2" t="inlineStr">
        <is>
          <t>Elektrik</t>
        </is>
      </c>
      <c r="H24" s="3" t="n">
        <v>47741</v>
      </c>
      <c r="I24" s="3" t="n">
        <v>47941</v>
      </c>
      <c r="J24" s="3" t="n">
        <v>200</v>
      </c>
      <c r="K24" s="2" t="inlineStr">
        <is>
          <t>kWh</t>
        </is>
      </c>
      <c r="L24" s="4" t="n">
        <v>4.8</v>
      </c>
      <c r="M24" s="4" t="n">
        <v>960</v>
      </c>
      <c r="N24" s="4" t="n">
        <v>25</v>
      </c>
      <c r="O24" s="4" t="n">
        <v>177.3</v>
      </c>
      <c r="P24" s="4" t="n">
        <v>1162.3</v>
      </c>
    </row>
    <row r="25">
      <c r="A25" s="2" t="inlineStr">
        <is>
          <t>FTR20241024</t>
        </is>
      </c>
      <c r="B25" s="2" t="inlineStr">
        <is>
          <t>10.03.2024</t>
        </is>
      </c>
      <c r="C25" s="2" t="inlineStr">
        <is>
          <t>H34024</t>
        </is>
      </c>
      <c r="D25" s="2" t="inlineStr">
        <is>
          <t>İbrahim Koçak</t>
        </is>
      </c>
      <c r="E25" s="2" t="inlineStr">
        <is>
          <t>Ankara</t>
        </is>
      </c>
      <c r="F25" s="2" t="inlineStr">
        <is>
          <t>Mamak</t>
        </is>
      </c>
      <c r="G25" s="2" t="inlineStr">
        <is>
          <t>Su</t>
        </is>
      </c>
      <c r="H25" s="3" t="n">
        <v>3138</v>
      </c>
      <c r="I25" s="3" t="n">
        <v>3172</v>
      </c>
      <c r="J25" s="3" t="n">
        <v>34</v>
      </c>
      <c r="K25" s="2" t="inlineStr">
        <is>
          <t>m³</t>
        </is>
      </c>
      <c r="L25" s="4" t="n">
        <v>9.300000000000001</v>
      </c>
      <c r="M25" s="4" t="n">
        <v>316.2</v>
      </c>
      <c r="N25" s="4" t="n">
        <v>15.5</v>
      </c>
      <c r="O25" s="4" t="n">
        <v>59.71</v>
      </c>
      <c r="P25" s="4" t="n">
        <v>391.41</v>
      </c>
    </row>
    <row r="26">
      <c r="A26" s="2" t="inlineStr">
        <is>
          <t>FTR20241025</t>
        </is>
      </c>
      <c r="B26" s="2" t="inlineStr">
        <is>
          <t>13.03.2024</t>
        </is>
      </c>
      <c r="C26" s="2" t="inlineStr">
        <is>
          <t>H34025</t>
        </is>
      </c>
      <c r="D26" s="2" t="inlineStr">
        <is>
          <t>Gülbahar Şimşek</t>
        </is>
      </c>
      <c r="E26" s="2" t="inlineStr">
        <is>
          <t>Konya</t>
        </is>
      </c>
      <c r="F26" s="2" t="inlineStr">
        <is>
          <t>Merkez</t>
        </is>
      </c>
      <c r="G26" s="2" t="inlineStr">
        <is>
          <t>Doğalgaz</t>
        </is>
      </c>
      <c r="H26" s="3" t="n">
        <v>18371</v>
      </c>
      <c r="I26" s="3" t="n">
        <v>18753</v>
      </c>
      <c r="J26" s="3" t="n">
        <v>382</v>
      </c>
      <c r="K26" s="2" t="inlineStr">
        <is>
          <t>m³</t>
        </is>
      </c>
      <c r="L26" s="4" t="n">
        <v>5.78</v>
      </c>
      <c r="M26" s="4" t="n">
        <v>2207.96</v>
      </c>
      <c r="N26" s="4" t="n">
        <v>12</v>
      </c>
      <c r="O26" s="4" t="n">
        <v>399.59</v>
      </c>
      <c r="P26" s="4" t="n">
        <v>2619.55</v>
      </c>
    </row>
    <row r="27">
      <c r="A27" s="2" t="inlineStr">
        <is>
          <t>FTR20241026</t>
        </is>
      </c>
      <c r="B27" s="2" t="inlineStr">
        <is>
          <t>16.03.2024</t>
        </is>
      </c>
      <c r="C27" s="2" t="inlineStr">
        <is>
          <t>H34026</t>
        </is>
      </c>
      <c r="D27" s="2" t="inlineStr">
        <is>
          <t>Ayşe Demirel</t>
        </is>
      </c>
      <c r="E27" s="2" t="inlineStr">
        <is>
          <t>İzmir</t>
        </is>
      </c>
      <c r="F27" s="2" t="inlineStr">
        <is>
          <t>Alsancak</t>
        </is>
      </c>
      <c r="G27" s="2" t="inlineStr">
        <is>
          <t>Elektrik</t>
        </is>
      </c>
      <c r="H27" s="3" t="n">
        <v>36049</v>
      </c>
      <c r="I27" s="3" t="n">
        <v>36511</v>
      </c>
      <c r="J27" s="3" t="n">
        <v>462</v>
      </c>
      <c r="K27" s="2" t="inlineStr">
        <is>
          <t>kWh</t>
        </is>
      </c>
      <c r="L27" s="4" t="n">
        <v>5.43</v>
      </c>
      <c r="M27" s="4" t="n">
        <v>2508.66</v>
      </c>
      <c r="N27" s="4" t="n">
        <v>25</v>
      </c>
      <c r="O27" s="4" t="n">
        <v>456.06</v>
      </c>
      <c r="P27" s="4" t="n">
        <v>2989.72</v>
      </c>
    </row>
    <row r="28">
      <c r="A28" s="2" t="inlineStr">
        <is>
          <t>FTR20241027</t>
        </is>
      </c>
      <c r="B28" s="2" t="inlineStr">
        <is>
          <t>19.03.2024</t>
        </is>
      </c>
      <c r="C28" s="2" t="inlineStr">
        <is>
          <t>H34027</t>
        </is>
      </c>
      <c r="D28" s="2" t="inlineStr">
        <is>
          <t>Hasan Özdemir</t>
        </is>
      </c>
      <c r="E28" s="2" t="inlineStr">
        <is>
          <t>Bursa</t>
        </is>
      </c>
      <c r="F28" s="2" t="inlineStr">
        <is>
          <t>Merkez</t>
        </is>
      </c>
      <c r="G28" s="2" t="inlineStr">
        <is>
          <t>Doğalgaz</t>
        </is>
      </c>
      <c r="H28" s="3" t="n">
        <v>2602</v>
      </c>
      <c r="I28" s="3" t="n">
        <v>3044</v>
      </c>
      <c r="J28" s="3" t="n">
        <v>442</v>
      </c>
      <c r="K28" s="2" t="inlineStr">
        <is>
          <t>m³</t>
        </is>
      </c>
      <c r="L28" s="4" t="n">
        <v>6.05</v>
      </c>
      <c r="M28" s="4" t="n">
        <v>2674.1</v>
      </c>
      <c r="N28" s="4" t="n">
        <v>12</v>
      </c>
      <c r="O28" s="4" t="n">
        <v>483.5</v>
      </c>
      <c r="P28" s="4" t="n">
        <v>3169.6</v>
      </c>
    </row>
    <row r="29">
      <c r="A29" s="2" t="inlineStr">
        <is>
          <t>FTR20241028</t>
        </is>
      </c>
      <c r="B29" s="2" t="inlineStr">
        <is>
          <t>22.03.2024</t>
        </is>
      </c>
      <c r="C29" s="2" t="inlineStr">
        <is>
          <t>H34028</t>
        </is>
      </c>
      <c r="D29" s="2" t="inlineStr">
        <is>
          <t>İbrahim Koçak</t>
        </is>
      </c>
      <c r="E29" s="2" t="inlineStr">
        <is>
          <t>Bursa</t>
        </is>
      </c>
      <c r="F29" s="2" t="inlineStr">
        <is>
          <t>Merkez</t>
        </is>
      </c>
      <c r="G29" s="2" t="inlineStr">
        <is>
          <t>Su</t>
        </is>
      </c>
      <c r="H29" s="3" t="n">
        <v>2747</v>
      </c>
      <c r="I29" s="3" t="n">
        <v>2897</v>
      </c>
      <c r="J29" s="3" t="n">
        <v>150</v>
      </c>
      <c r="K29" s="2" t="inlineStr">
        <is>
          <t>m³</t>
        </is>
      </c>
      <c r="L29" s="4" t="n">
        <v>9.58</v>
      </c>
      <c r="M29" s="4" t="n">
        <v>1437</v>
      </c>
      <c r="N29" s="4" t="n">
        <v>15.5</v>
      </c>
      <c r="O29" s="4" t="n">
        <v>261.45</v>
      </c>
      <c r="P29" s="4" t="n">
        <v>1713.95</v>
      </c>
    </row>
    <row r="30">
      <c r="A30" s="2" t="inlineStr">
        <is>
          <t>FTR20241029</t>
        </is>
      </c>
      <c r="B30" s="2" t="inlineStr">
        <is>
          <t>25.03.2024</t>
        </is>
      </c>
      <c r="C30" s="2" t="inlineStr">
        <is>
          <t>H34029</t>
        </is>
      </c>
      <c r="D30" s="2" t="inlineStr">
        <is>
          <t>Gülbahar Şimşek</t>
        </is>
      </c>
      <c r="E30" s="2" t="inlineStr">
        <is>
          <t>Ankara</t>
        </is>
      </c>
      <c r="F30" s="2" t="inlineStr">
        <is>
          <t>Keçiören</t>
        </is>
      </c>
      <c r="G30" s="2" t="inlineStr">
        <is>
          <t>Doğalgaz</t>
        </is>
      </c>
      <c r="H30" s="3" t="n">
        <v>12288</v>
      </c>
      <c r="I30" s="3" t="n">
        <v>12665</v>
      </c>
      <c r="J30" s="3" t="n">
        <v>377</v>
      </c>
      <c r="K30" s="2" t="inlineStr">
        <is>
          <t>m³</t>
        </is>
      </c>
      <c r="L30" s="4" t="n">
        <v>6.6</v>
      </c>
      <c r="M30" s="4" t="n">
        <v>2488.2</v>
      </c>
      <c r="N30" s="4" t="n">
        <v>12</v>
      </c>
      <c r="O30" s="4" t="n">
        <v>450.04</v>
      </c>
      <c r="P30" s="4" t="n">
        <v>2950.24</v>
      </c>
    </row>
    <row r="31">
      <c r="A31" s="2" t="inlineStr">
        <is>
          <t>FTR20241030</t>
        </is>
      </c>
      <c r="B31" s="2" t="inlineStr">
        <is>
          <t>28.03.2024</t>
        </is>
      </c>
      <c r="C31" s="2" t="inlineStr">
        <is>
          <t>H34030</t>
        </is>
      </c>
      <c r="D31" s="2" t="inlineStr">
        <is>
          <t>Gülbahar Şimşek</t>
        </is>
      </c>
      <c r="E31" s="2" t="inlineStr">
        <is>
          <t>Konya</t>
        </is>
      </c>
      <c r="F31" s="2" t="inlineStr">
        <is>
          <t>Merkez</t>
        </is>
      </c>
      <c r="G31" s="2" t="inlineStr">
        <is>
          <t>Elektrik</t>
        </is>
      </c>
      <c r="H31" s="3" t="n">
        <v>43604</v>
      </c>
      <c r="I31" s="3" t="n">
        <v>43738</v>
      </c>
      <c r="J31" s="3" t="n">
        <v>134</v>
      </c>
      <c r="K31" s="2" t="inlineStr">
        <is>
          <t>kWh</t>
        </is>
      </c>
      <c r="L31" s="4" t="n">
        <v>6.27</v>
      </c>
      <c r="M31" s="4" t="n">
        <v>840.1799999999999</v>
      </c>
      <c r="N31" s="4" t="n">
        <v>25</v>
      </c>
      <c r="O31" s="4" t="n">
        <v>155.73</v>
      </c>
      <c r="P31" s="4" t="n">
        <v>1020.91</v>
      </c>
    </row>
    <row r="32">
      <c r="A32" s="2" t="inlineStr">
        <is>
          <t>FTR20241031</t>
        </is>
      </c>
      <c r="B32" s="2" t="inlineStr">
        <is>
          <t>31.03.2024</t>
        </is>
      </c>
      <c r="C32" s="2" t="inlineStr">
        <is>
          <t>H34031</t>
        </is>
      </c>
      <c r="D32" s="2" t="inlineStr">
        <is>
          <t>Ayşe Demirel</t>
        </is>
      </c>
      <c r="E32" s="2" t="inlineStr">
        <is>
          <t>Antalya</t>
        </is>
      </c>
      <c r="F32" s="2" t="inlineStr">
        <is>
          <t>Merkez</t>
        </is>
      </c>
      <c r="G32" s="2" t="inlineStr">
        <is>
          <t>Doğalgaz</t>
        </is>
      </c>
      <c r="H32" s="3" t="n">
        <v>6542</v>
      </c>
      <c r="I32" s="3" t="n">
        <v>6708</v>
      </c>
      <c r="J32" s="3" t="n">
        <v>166</v>
      </c>
      <c r="K32" s="2" t="inlineStr">
        <is>
          <t>m³</t>
        </is>
      </c>
      <c r="L32" s="4" t="n">
        <v>4.19</v>
      </c>
      <c r="M32" s="4" t="n">
        <v>695.5400000000001</v>
      </c>
      <c r="N32" s="4" t="n">
        <v>12</v>
      </c>
      <c r="O32" s="4" t="n">
        <v>127.36</v>
      </c>
      <c r="P32" s="4" t="n">
        <v>834.9000000000001</v>
      </c>
    </row>
    <row r="33">
      <c r="A33" s="2" t="inlineStr">
        <is>
          <t>FTR20241032</t>
        </is>
      </c>
      <c r="B33" s="2" t="inlineStr">
        <is>
          <t>03.04.2024</t>
        </is>
      </c>
      <c r="C33" s="2" t="inlineStr">
        <is>
          <t>H34032</t>
        </is>
      </c>
      <c r="D33" s="2" t="inlineStr">
        <is>
          <t>Ayşe Demirel</t>
        </is>
      </c>
      <c r="E33" s="2" t="inlineStr">
        <is>
          <t>İzmir</t>
        </is>
      </c>
      <c r="F33" s="2" t="inlineStr">
        <is>
          <t>Balçova</t>
        </is>
      </c>
      <c r="G33" s="2" t="inlineStr">
        <is>
          <t>Doğalgaz</t>
        </is>
      </c>
      <c r="H33" s="3" t="n">
        <v>3361</v>
      </c>
      <c r="I33" s="3" t="n">
        <v>3636</v>
      </c>
      <c r="J33" s="3" t="n">
        <v>275</v>
      </c>
      <c r="K33" s="2" t="inlineStr">
        <is>
          <t>m³</t>
        </is>
      </c>
      <c r="L33" s="4" t="n">
        <v>4.32</v>
      </c>
      <c r="M33" s="4" t="n">
        <v>1188</v>
      </c>
      <c r="N33" s="4" t="n">
        <v>12</v>
      </c>
      <c r="O33" s="4" t="n">
        <v>216</v>
      </c>
      <c r="P33" s="4" t="n">
        <v>1416</v>
      </c>
    </row>
    <row r="34">
      <c r="A34" s="2" t="inlineStr">
        <is>
          <t>FTR20241033</t>
        </is>
      </c>
      <c r="B34" s="2" t="inlineStr">
        <is>
          <t>06.04.2024</t>
        </is>
      </c>
      <c r="C34" s="2" t="inlineStr">
        <is>
          <t>H34033</t>
        </is>
      </c>
      <c r="D34" s="2" t="inlineStr">
        <is>
          <t>Fatma Şahin</t>
        </is>
      </c>
      <c r="E34" s="2" t="inlineStr">
        <is>
          <t>Gaziantep</t>
        </is>
      </c>
      <c r="F34" s="2" t="inlineStr">
        <is>
          <t>Merkez</t>
        </is>
      </c>
      <c r="G34" s="2" t="inlineStr">
        <is>
          <t>Elektrik</t>
        </is>
      </c>
      <c r="H34" s="3" t="n">
        <v>18995</v>
      </c>
      <c r="I34" s="3" t="n">
        <v>19670</v>
      </c>
      <c r="J34" s="3" t="n">
        <v>675</v>
      </c>
      <c r="K34" s="2" t="inlineStr">
        <is>
          <t>kWh</t>
        </is>
      </c>
      <c r="L34" s="4" t="n">
        <v>5.89</v>
      </c>
      <c r="M34" s="4" t="n">
        <v>3975.75</v>
      </c>
      <c r="N34" s="4" t="n">
        <v>25</v>
      </c>
      <c r="O34" s="4" t="n">
        <v>720.13</v>
      </c>
      <c r="P34" s="4" t="n">
        <v>4720.88</v>
      </c>
    </row>
    <row r="35">
      <c r="A35" s="2" t="inlineStr">
        <is>
          <t>FTR20241034</t>
        </is>
      </c>
      <c r="B35" s="2" t="inlineStr">
        <is>
          <t>09.04.2024</t>
        </is>
      </c>
      <c r="C35" s="2" t="inlineStr">
        <is>
          <t>H34034</t>
        </is>
      </c>
      <c r="D35" s="2" t="inlineStr">
        <is>
          <t>Hasan Özdemir</t>
        </is>
      </c>
      <c r="E35" s="2" t="inlineStr">
        <is>
          <t>Bursa</t>
        </is>
      </c>
      <c r="F35" s="2" t="inlineStr">
        <is>
          <t>Merkez</t>
        </is>
      </c>
      <c r="G35" s="2" t="inlineStr">
        <is>
          <t>Doğalgaz</t>
        </is>
      </c>
      <c r="H35" s="3" t="n">
        <v>11989</v>
      </c>
      <c r="I35" s="3" t="n">
        <v>12317</v>
      </c>
      <c r="J35" s="3" t="n">
        <v>328</v>
      </c>
      <c r="K35" s="2" t="inlineStr">
        <is>
          <t>m³</t>
        </is>
      </c>
      <c r="L35" s="4" t="n">
        <v>3.77</v>
      </c>
      <c r="M35" s="4" t="n">
        <v>1236.56</v>
      </c>
      <c r="N35" s="4" t="n">
        <v>12</v>
      </c>
      <c r="O35" s="4" t="n">
        <v>224.74</v>
      </c>
      <c r="P35" s="4" t="n">
        <v>1473.3</v>
      </c>
    </row>
    <row r="36">
      <c r="A36" s="2" t="inlineStr">
        <is>
          <t>FTR20241035</t>
        </is>
      </c>
      <c r="B36" s="2" t="inlineStr">
        <is>
          <t>12.04.2024</t>
        </is>
      </c>
      <c r="C36" s="2" t="inlineStr">
        <is>
          <t>H34035</t>
        </is>
      </c>
      <c r="D36" s="2" t="inlineStr">
        <is>
          <t>Ahmet Yılmaz</t>
        </is>
      </c>
      <c r="E36" s="2" t="inlineStr">
        <is>
          <t>Bursa</t>
        </is>
      </c>
      <c r="F36" s="2" t="inlineStr">
        <is>
          <t>Merkez</t>
        </is>
      </c>
      <c r="G36" s="2" t="inlineStr">
        <is>
          <t>Su</t>
        </is>
      </c>
      <c r="H36" s="3" t="n">
        <v>1161</v>
      </c>
      <c r="I36" s="3" t="n">
        <v>1214</v>
      </c>
      <c r="J36" s="3" t="n">
        <v>53</v>
      </c>
      <c r="K36" s="2" t="inlineStr">
        <is>
          <t>m³</t>
        </is>
      </c>
      <c r="L36" s="4" t="n">
        <v>10.69</v>
      </c>
      <c r="M36" s="4" t="n">
        <v>566.5699999999999</v>
      </c>
      <c r="N36" s="4" t="n">
        <v>15.5</v>
      </c>
      <c r="O36" s="4" t="n">
        <v>104.77</v>
      </c>
      <c r="P36" s="4" t="n">
        <v>686.8399999999999</v>
      </c>
    </row>
    <row r="37">
      <c r="A37" s="2" t="inlineStr">
        <is>
          <t>FTR20241036</t>
        </is>
      </c>
      <c r="B37" s="2" t="inlineStr">
        <is>
          <t>15.04.2024</t>
        </is>
      </c>
      <c r="C37" s="2" t="inlineStr">
        <is>
          <t>H34036</t>
        </is>
      </c>
      <c r="D37" s="2" t="inlineStr">
        <is>
          <t>İbrahim Koçak</t>
        </is>
      </c>
      <c r="E37" s="2" t="inlineStr">
        <is>
          <t>İstanbul</t>
        </is>
      </c>
      <c r="F37" s="2" t="inlineStr">
        <is>
          <t>Kadıköy</t>
        </is>
      </c>
      <c r="G37" s="2" t="inlineStr">
        <is>
          <t>Doğalgaz</t>
        </is>
      </c>
      <c r="H37" s="3" t="n">
        <v>7470</v>
      </c>
      <c r="I37" s="3" t="n">
        <v>7923</v>
      </c>
      <c r="J37" s="3" t="n">
        <v>453</v>
      </c>
      <c r="K37" s="2" t="inlineStr">
        <is>
          <t>m³</t>
        </is>
      </c>
      <c r="L37" s="4" t="n">
        <v>6.02</v>
      </c>
      <c r="M37" s="4" t="n">
        <v>2727.06</v>
      </c>
      <c r="N37" s="4" t="n">
        <v>12</v>
      </c>
      <c r="O37" s="4" t="n">
        <v>493.03</v>
      </c>
      <c r="P37" s="4" t="n">
        <v>3232.09</v>
      </c>
    </row>
    <row r="38">
      <c r="A38" s="2" t="inlineStr">
        <is>
          <t>FTR20241037</t>
        </is>
      </c>
      <c r="B38" s="2" t="inlineStr">
        <is>
          <t>18.04.2024</t>
        </is>
      </c>
      <c r="C38" s="2" t="inlineStr">
        <is>
          <t>H34037</t>
        </is>
      </c>
      <c r="D38" s="2" t="inlineStr">
        <is>
          <t>Gülbahar Şimşek</t>
        </is>
      </c>
      <c r="E38" s="2" t="inlineStr">
        <is>
          <t>Ankara</t>
        </is>
      </c>
      <c r="F38" s="2" t="inlineStr">
        <is>
          <t>Çankaya</t>
        </is>
      </c>
      <c r="G38" s="2" t="inlineStr">
        <is>
          <t>Su</t>
        </is>
      </c>
      <c r="H38" s="3" t="n">
        <v>1005</v>
      </c>
      <c r="I38" s="3" t="n">
        <v>1054</v>
      </c>
      <c r="J38" s="3" t="n">
        <v>49</v>
      </c>
      <c r="K38" s="2" t="inlineStr">
        <is>
          <t>m³</t>
        </is>
      </c>
      <c r="L38" s="4" t="n">
        <v>8.91</v>
      </c>
      <c r="M38" s="4" t="n">
        <v>436.59</v>
      </c>
      <c r="N38" s="4" t="n">
        <v>15.5</v>
      </c>
      <c r="O38" s="4" t="n">
        <v>81.38</v>
      </c>
      <c r="P38" s="4" t="n">
        <v>533.47</v>
      </c>
    </row>
    <row r="39">
      <c r="A39" s="2" t="inlineStr">
        <is>
          <t>FTR20241038</t>
        </is>
      </c>
      <c r="B39" s="2" t="inlineStr">
        <is>
          <t>21.04.2024</t>
        </is>
      </c>
      <c r="C39" s="2" t="inlineStr">
        <is>
          <t>H34038</t>
        </is>
      </c>
      <c r="D39" s="2" t="inlineStr">
        <is>
          <t>Ayşe Demirel</t>
        </is>
      </c>
      <c r="E39" s="2" t="inlineStr">
        <is>
          <t>Antalya</t>
        </is>
      </c>
      <c r="F39" s="2" t="inlineStr">
        <is>
          <t>Merkez</t>
        </is>
      </c>
      <c r="G39" s="2" t="inlineStr">
        <is>
          <t>Su</t>
        </is>
      </c>
      <c r="H39" s="3" t="n">
        <v>263</v>
      </c>
      <c r="I39" s="3" t="n">
        <v>333</v>
      </c>
      <c r="J39" s="3" t="n">
        <v>70</v>
      </c>
      <c r="K39" s="2" t="inlineStr">
        <is>
          <t>m³</t>
        </is>
      </c>
      <c r="L39" s="4" t="n">
        <v>11.83</v>
      </c>
      <c r="M39" s="4" t="n">
        <v>828.1</v>
      </c>
      <c r="N39" s="4" t="n">
        <v>15.5</v>
      </c>
      <c r="O39" s="4" t="n">
        <v>151.85</v>
      </c>
      <c r="P39" s="4" t="n">
        <v>995.45</v>
      </c>
    </row>
    <row r="40">
      <c r="A40" s="2" t="inlineStr">
        <is>
          <t>FTR20241039</t>
        </is>
      </c>
      <c r="B40" s="2" t="inlineStr">
        <is>
          <t>24.04.2024</t>
        </is>
      </c>
      <c r="C40" s="2" t="inlineStr">
        <is>
          <t>H34039</t>
        </is>
      </c>
      <c r="D40" s="2" t="inlineStr">
        <is>
          <t>Nurgül Kılıç</t>
        </is>
      </c>
      <c r="E40" s="2" t="inlineStr">
        <is>
          <t>Gaziantep</t>
        </is>
      </c>
      <c r="F40" s="2" t="inlineStr">
        <is>
          <t>Merkez</t>
        </is>
      </c>
      <c r="G40" s="2" t="inlineStr">
        <is>
          <t>Doğalgaz</t>
        </is>
      </c>
      <c r="H40" s="3" t="n">
        <v>2960</v>
      </c>
      <c r="I40" s="3" t="n">
        <v>3056</v>
      </c>
      <c r="J40" s="3" t="n">
        <v>96</v>
      </c>
      <c r="K40" s="2" t="inlineStr">
        <is>
          <t>m³</t>
        </is>
      </c>
      <c r="L40" s="4" t="n">
        <v>4.69</v>
      </c>
      <c r="M40" s="4" t="n">
        <v>450.24</v>
      </c>
      <c r="N40" s="4" t="n">
        <v>12</v>
      </c>
      <c r="O40" s="4" t="n">
        <v>83.2</v>
      </c>
      <c r="P40" s="4" t="n">
        <v>545.4400000000001</v>
      </c>
    </row>
    <row r="41">
      <c r="A41" s="2" t="inlineStr">
        <is>
          <t>FTR20241040</t>
        </is>
      </c>
      <c r="B41" s="2" t="inlineStr">
        <is>
          <t>27.04.2024</t>
        </is>
      </c>
      <c r="C41" s="2" t="inlineStr">
        <is>
          <t>H34040</t>
        </is>
      </c>
      <c r="D41" s="2" t="inlineStr">
        <is>
          <t>Zeynep Arslan</t>
        </is>
      </c>
      <c r="E41" s="2" t="inlineStr">
        <is>
          <t>Konya</t>
        </is>
      </c>
      <c r="F41" s="2" t="inlineStr">
        <is>
          <t>Merkez</t>
        </is>
      </c>
      <c r="G41" s="2" t="inlineStr">
        <is>
          <t>Doğalgaz</t>
        </is>
      </c>
      <c r="H41" s="3" t="n">
        <v>12241</v>
      </c>
      <c r="I41" s="3" t="n">
        <v>12318</v>
      </c>
      <c r="J41" s="3" t="n">
        <v>77</v>
      </c>
      <c r="K41" s="2" t="inlineStr">
        <is>
          <t>m³</t>
        </is>
      </c>
      <c r="L41" s="4" t="n">
        <v>5.42</v>
      </c>
      <c r="M41" s="4" t="n">
        <v>417.34</v>
      </c>
      <c r="N41" s="4" t="n">
        <v>12</v>
      </c>
      <c r="O41" s="4" t="n">
        <v>77.28</v>
      </c>
      <c r="P41" s="4" t="n">
        <v>506.62</v>
      </c>
    </row>
    <row r="42">
      <c r="A42" s="2" t="inlineStr">
        <is>
          <t>FTR20241041</t>
        </is>
      </c>
      <c r="B42" s="2" t="inlineStr">
        <is>
          <t>30.04.2024</t>
        </is>
      </c>
      <c r="C42" s="2" t="inlineStr">
        <is>
          <t>H34041</t>
        </is>
      </c>
      <c r="D42" s="2" t="inlineStr">
        <is>
          <t>Gülbahar Şimşek</t>
        </is>
      </c>
      <c r="E42" s="2" t="inlineStr">
        <is>
          <t>Konya</t>
        </is>
      </c>
      <c r="F42" s="2" t="inlineStr">
        <is>
          <t>Merkez</t>
        </is>
      </c>
      <c r="G42" s="2" t="inlineStr">
        <is>
          <t>Su</t>
        </is>
      </c>
      <c r="H42" s="3" t="n">
        <v>3141</v>
      </c>
      <c r="I42" s="3" t="n">
        <v>3166</v>
      </c>
      <c r="J42" s="3" t="n">
        <v>25</v>
      </c>
      <c r="K42" s="2" t="inlineStr">
        <is>
          <t>m³</t>
        </is>
      </c>
      <c r="L42" s="4" t="n">
        <v>12.2</v>
      </c>
      <c r="M42" s="4" t="n">
        <v>305</v>
      </c>
      <c r="N42" s="4" t="n">
        <v>15.5</v>
      </c>
      <c r="O42" s="4" t="n">
        <v>57.69</v>
      </c>
      <c r="P42" s="4" t="n">
        <v>378.19</v>
      </c>
    </row>
    <row r="43">
      <c r="A43" s="2" t="inlineStr">
        <is>
          <t>FTR20241042</t>
        </is>
      </c>
      <c r="B43" s="2" t="inlineStr">
        <is>
          <t>03.05.2024</t>
        </is>
      </c>
      <c r="C43" s="2" t="inlineStr">
        <is>
          <t>H34042</t>
        </is>
      </c>
      <c r="D43" s="2" t="inlineStr">
        <is>
          <t>Ayşe Demirel</t>
        </is>
      </c>
      <c r="E43" s="2" t="inlineStr">
        <is>
          <t>Konya</t>
        </is>
      </c>
      <c r="F43" s="2" t="inlineStr">
        <is>
          <t>Merkez</t>
        </is>
      </c>
      <c r="G43" s="2" t="inlineStr">
        <is>
          <t>Elektrik</t>
        </is>
      </c>
      <c r="H43" s="3" t="n">
        <v>38077</v>
      </c>
      <c r="I43" s="3" t="n">
        <v>38215</v>
      </c>
      <c r="J43" s="3" t="n">
        <v>138</v>
      </c>
      <c r="K43" s="2" t="inlineStr">
        <is>
          <t>kWh</t>
        </is>
      </c>
      <c r="L43" s="4" t="n">
        <v>6.93</v>
      </c>
      <c r="M43" s="4" t="n">
        <v>956.3399999999999</v>
      </c>
      <c r="N43" s="4" t="n">
        <v>25</v>
      </c>
      <c r="O43" s="4" t="n">
        <v>176.64</v>
      </c>
      <c r="P43" s="4" t="n">
        <v>1157.98</v>
      </c>
    </row>
    <row r="44">
      <c r="A44" s="2" t="inlineStr">
        <is>
          <t>FTR20241043</t>
        </is>
      </c>
      <c r="B44" s="2" t="inlineStr">
        <is>
          <t>06.05.2024</t>
        </is>
      </c>
      <c r="C44" s="2" t="inlineStr">
        <is>
          <t>H34043</t>
        </is>
      </c>
      <c r="D44" s="2" t="inlineStr">
        <is>
          <t>Zeynep Arslan</t>
        </is>
      </c>
      <c r="E44" s="2" t="inlineStr">
        <is>
          <t>İzmir</t>
        </is>
      </c>
      <c r="F44" s="2" t="inlineStr">
        <is>
          <t>Gaziemir</t>
        </is>
      </c>
      <c r="G44" s="2" t="inlineStr">
        <is>
          <t>Doğalgaz</t>
        </is>
      </c>
      <c r="H44" s="3" t="n">
        <v>6319</v>
      </c>
      <c r="I44" s="3" t="n">
        <v>6500</v>
      </c>
      <c r="J44" s="3" t="n">
        <v>181</v>
      </c>
      <c r="K44" s="2" t="inlineStr">
        <is>
          <t>m³</t>
        </is>
      </c>
      <c r="L44" s="4" t="n">
        <v>4.1</v>
      </c>
      <c r="M44" s="4" t="n">
        <v>742.0999999999999</v>
      </c>
      <c r="N44" s="4" t="n">
        <v>12</v>
      </c>
      <c r="O44" s="4" t="n">
        <v>135.74</v>
      </c>
      <c r="P44" s="4" t="n">
        <v>889.8399999999999</v>
      </c>
    </row>
    <row r="45">
      <c r="A45" s="2" t="inlineStr">
        <is>
          <t>FTR20241044</t>
        </is>
      </c>
      <c r="B45" s="2" t="inlineStr">
        <is>
          <t>09.05.2024</t>
        </is>
      </c>
      <c r="C45" s="2" t="inlineStr">
        <is>
          <t>H34044</t>
        </is>
      </c>
      <c r="D45" s="2" t="inlineStr">
        <is>
          <t>Kadir Doğan</t>
        </is>
      </c>
      <c r="E45" s="2" t="inlineStr">
        <is>
          <t>Antalya</t>
        </is>
      </c>
      <c r="F45" s="2" t="inlineStr">
        <is>
          <t>Merkez</t>
        </is>
      </c>
      <c r="G45" s="2" t="inlineStr">
        <is>
          <t>Doğalgaz</t>
        </is>
      </c>
      <c r="H45" s="3" t="n">
        <v>16016</v>
      </c>
      <c r="I45" s="3" t="n">
        <v>16253</v>
      </c>
      <c r="J45" s="3" t="n">
        <v>237</v>
      </c>
      <c r="K45" s="2" t="inlineStr">
        <is>
          <t>m³</t>
        </is>
      </c>
      <c r="L45" s="4" t="n">
        <v>5.71</v>
      </c>
      <c r="M45" s="4" t="n">
        <v>1353.27</v>
      </c>
      <c r="N45" s="4" t="n">
        <v>12</v>
      </c>
      <c r="O45" s="4" t="n">
        <v>245.75</v>
      </c>
      <c r="P45" s="4" t="n">
        <v>1611.02</v>
      </c>
    </row>
    <row r="46">
      <c r="A46" s="2" t="inlineStr">
        <is>
          <t>FTR20241045</t>
        </is>
      </c>
      <c r="B46" s="2" t="inlineStr">
        <is>
          <t>12.05.2024</t>
        </is>
      </c>
      <c r="C46" s="2" t="inlineStr">
        <is>
          <t>H34045</t>
        </is>
      </c>
      <c r="D46" s="2" t="inlineStr">
        <is>
          <t>İbrahim Koçak</t>
        </is>
      </c>
      <c r="E46" s="2" t="inlineStr">
        <is>
          <t>Konya</t>
        </is>
      </c>
      <c r="F46" s="2" t="inlineStr">
        <is>
          <t>Merkez</t>
        </is>
      </c>
      <c r="G46" s="2" t="inlineStr">
        <is>
          <t>Elektrik</t>
        </is>
      </c>
      <c r="H46" s="3" t="n">
        <v>6313</v>
      </c>
      <c r="I46" s="3" t="n">
        <v>6875</v>
      </c>
      <c r="J46" s="3" t="n">
        <v>562</v>
      </c>
      <c r="K46" s="2" t="inlineStr">
        <is>
          <t>kWh</t>
        </is>
      </c>
      <c r="L46" s="4" t="n">
        <v>7.74</v>
      </c>
      <c r="M46" s="4" t="n">
        <v>4349.88</v>
      </c>
      <c r="N46" s="4" t="n">
        <v>25</v>
      </c>
      <c r="O46" s="4" t="n">
        <v>787.48</v>
      </c>
      <c r="P46" s="4" t="n">
        <v>5162.360000000001</v>
      </c>
    </row>
    <row r="47">
      <c r="A47" s="2" t="inlineStr">
        <is>
          <t>FTR20241046</t>
        </is>
      </c>
      <c r="B47" s="2" t="inlineStr">
        <is>
          <t>15.05.2024</t>
        </is>
      </c>
      <c r="C47" s="2" t="inlineStr">
        <is>
          <t>H34046</t>
        </is>
      </c>
      <c r="D47" s="2" t="inlineStr">
        <is>
          <t>Ahmet Yılmaz</t>
        </is>
      </c>
      <c r="E47" s="2" t="inlineStr">
        <is>
          <t>Ankara</t>
        </is>
      </c>
      <c r="F47" s="2" t="inlineStr">
        <is>
          <t>Yenimahalle</t>
        </is>
      </c>
      <c r="G47" s="2" t="inlineStr">
        <is>
          <t>Doğalgaz</t>
        </is>
      </c>
      <c r="H47" s="3" t="n">
        <v>16431</v>
      </c>
      <c r="I47" s="3" t="n">
        <v>16800</v>
      </c>
      <c r="J47" s="3" t="n">
        <v>369</v>
      </c>
      <c r="K47" s="2" t="inlineStr">
        <is>
          <t>m³</t>
        </is>
      </c>
      <c r="L47" s="4" t="n">
        <v>4.16</v>
      </c>
      <c r="M47" s="4" t="n">
        <v>1535.04</v>
      </c>
      <c r="N47" s="4" t="n">
        <v>12</v>
      </c>
      <c r="O47" s="4" t="n">
        <v>278.47</v>
      </c>
      <c r="P47" s="4" t="n">
        <v>1825.51</v>
      </c>
    </row>
    <row r="48">
      <c r="A48" s="2" t="inlineStr">
        <is>
          <t>FTR20241047</t>
        </is>
      </c>
      <c r="B48" s="2" t="inlineStr">
        <is>
          <t>18.05.2024</t>
        </is>
      </c>
      <c r="C48" s="2" t="inlineStr">
        <is>
          <t>H34047</t>
        </is>
      </c>
      <c r="D48" s="2" t="inlineStr">
        <is>
          <t>Nurgül Kılıç</t>
        </is>
      </c>
      <c r="E48" s="2" t="inlineStr">
        <is>
          <t>Konya</t>
        </is>
      </c>
      <c r="F48" s="2" t="inlineStr">
        <is>
          <t>Merkez</t>
        </is>
      </c>
      <c r="G48" s="2" t="inlineStr">
        <is>
          <t>Elektrik</t>
        </is>
      </c>
      <c r="H48" s="3" t="n">
        <v>47930</v>
      </c>
      <c r="I48" s="3" t="n">
        <v>48196</v>
      </c>
      <c r="J48" s="3" t="n">
        <v>266</v>
      </c>
      <c r="K48" s="2" t="inlineStr">
        <is>
          <t>kWh</t>
        </is>
      </c>
      <c r="L48" s="4" t="n">
        <v>6.79</v>
      </c>
      <c r="M48" s="4" t="n">
        <v>1806.14</v>
      </c>
      <c r="N48" s="4" t="n">
        <v>25</v>
      </c>
      <c r="O48" s="4" t="n">
        <v>329.61</v>
      </c>
      <c r="P48" s="4" t="n">
        <v>2160.75</v>
      </c>
    </row>
    <row r="49">
      <c r="A49" s="2" t="inlineStr">
        <is>
          <t>FTR20241048</t>
        </is>
      </c>
      <c r="B49" s="2" t="inlineStr">
        <is>
          <t>21.05.2024</t>
        </is>
      </c>
      <c r="C49" s="2" t="inlineStr">
        <is>
          <t>H34048</t>
        </is>
      </c>
      <c r="D49" s="2" t="inlineStr">
        <is>
          <t>Fatma Şahin</t>
        </is>
      </c>
      <c r="E49" s="2" t="inlineStr">
        <is>
          <t>Bursa</t>
        </is>
      </c>
      <c r="F49" s="2" t="inlineStr">
        <is>
          <t>Merkez</t>
        </is>
      </c>
      <c r="G49" s="2" t="inlineStr">
        <is>
          <t>Doğalgaz</t>
        </is>
      </c>
      <c r="H49" s="3" t="n">
        <v>18409</v>
      </c>
      <c r="I49" s="3" t="n">
        <v>18469</v>
      </c>
      <c r="J49" s="3" t="n">
        <v>60</v>
      </c>
      <c r="K49" s="2" t="inlineStr">
        <is>
          <t>m³</t>
        </is>
      </c>
      <c r="L49" s="4" t="n">
        <v>5.55</v>
      </c>
      <c r="M49" s="4" t="n">
        <v>333</v>
      </c>
      <c r="N49" s="4" t="n">
        <v>12</v>
      </c>
      <c r="O49" s="4" t="n">
        <v>62.1</v>
      </c>
      <c r="P49" s="4" t="n">
        <v>407.1</v>
      </c>
    </row>
    <row r="50">
      <c r="A50" s="2" t="inlineStr">
        <is>
          <t>FTR20241049</t>
        </is>
      </c>
      <c r="B50" s="2" t="inlineStr">
        <is>
          <t>24.05.2024</t>
        </is>
      </c>
      <c r="C50" s="2" t="inlineStr">
        <is>
          <t>H34049</t>
        </is>
      </c>
      <c r="D50" s="2" t="inlineStr">
        <is>
          <t>İbrahim Koçak</t>
        </is>
      </c>
      <c r="E50" s="2" t="inlineStr">
        <is>
          <t>Ankara</t>
        </is>
      </c>
      <c r="F50" s="2" t="inlineStr">
        <is>
          <t>Çankaya</t>
        </is>
      </c>
      <c r="G50" s="2" t="inlineStr">
        <is>
          <t>Su</t>
        </is>
      </c>
      <c r="H50" s="3" t="n">
        <v>1369</v>
      </c>
      <c r="I50" s="3" t="n">
        <v>1417</v>
      </c>
      <c r="J50" s="3" t="n">
        <v>48</v>
      </c>
      <c r="K50" s="2" t="inlineStr">
        <is>
          <t>m³</t>
        </is>
      </c>
      <c r="L50" s="4" t="n">
        <v>9.65</v>
      </c>
      <c r="M50" s="4" t="n">
        <v>463.2</v>
      </c>
      <c r="N50" s="4" t="n">
        <v>15.5</v>
      </c>
      <c r="O50" s="4" t="n">
        <v>86.17</v>
      </c>
      <c r="P50" s="4" t="n">
        <v>564.87</v>
      </c>
    </row>
    <row r="51">
      <c r="A51" s="2" t="inlineStr">
        <is>
          <t>FTR20241050</t>
        </is>
      </c>
      <c r="B51" s="2" t="inlineStr">
        <is>
          <t>27.05.2024</t>
        </is>
      </c>
      <c r="C51" s="2" t="inlineStr">
        <is>
          <t>H34050</t>
        </is>
      </c>
      <c r="D51" s="2" t="inlineStr">
        <is>
          <t>Hasan Özdemir</t>
        </is>
      </c>
      <c r="E51" s="2" t="inlineStr">
        <is>
          <t>İstanbul</t>
        </is>
      </c>
      <c r="F51" s="2" t="inlineStr">
        <is>
          <t>Kadıköy</t>
        </is>
      </c>
      <c r="G51" s="2" t="inlineStr">
        <is>
          <t>Su</t>
        </is>
      </c>
      <c r="H51" s="3" t="n">
        <v>3302</v>
      </c>
      <c r="I51" s="3" t="n">
        <v>3349</v>
      </c>
      <c r="J51" s="3" t="n">
        <v>47</v>
      </c>
      <c r="K51" s="2" t="inlineStr">
        <is>
          <t>m³</t>
        </is>
      </c>
      <c r="L51" s="4" t="n">
        <v>9.300000000000001</v>
      </c>
      <c r="M51" s="4" t="n">
        <v>437.1</v>
      </c>
      <c r="N51" s="4" t="n">
        <v>15.5</v>
      </c>
      <c r="O51" s="4" t="n">
        <v>81.47</v>
      </c>
      <c r="P51" s="4" t="n">
        <v>534.0700000000001</v>
      </c>
    </row>
    <row r="52">
      <c r="A52" s="2" t="inlineStr">
        <is>
          <t>FTR20241051</t>
        </is>
      </c>
      <c r="B52" s="2" t="inlineStr">
        <is>
          <t>30.05.2024</t>
        </is>
      </c>
      <c r="C52" s="2" t="inlineStr">
        <is>
          <t>H34051</t>
        </is>
      </c>
      <c r="D52" s="2" t="inlineStr">
        <is>
          <t>Nurgül Kılıç</t>
        </is>
      </c>
      <c r="E52" s="2" t="inlineStr">
        <is>
          <t>Adana</t>
        </is>
      </c>
      <c r="F52" s="2" t="inlineStr">
        <is>
          <t>Merkez</t>
        </is>
      </c>
      <c r="G52" s="2" t="inlineStr">
        <is>
          <t>Elektrik</t>
        </is>
      </c>
      <c r="H52" s="3" t="n">
        <v>19345</v>
      </c>
      <c r="I52" s="3" t="n">
        <v>19744</v>
      </c>
      <c r="J52" s="3" t="n">
        <v>399</v>
      </c>
      <c r="K52" s="2" t="inlineStr">
        <is>
          <t>kWh</t>
        </is>
      </c>
      <c r="L52" s="4" t="n">
        <v>5.13</v>
      </c>
      <c r="M52" s="4" t="n">
        <v>2046.87</v>
      </c>
      <c r="N52" s="4" t="n">
        <v>25</v>
      </c>
      <c r="O52" s="4" t="n">
        <v>372.94</v>
      </c>
      <c r="P52" s="4" t="n">
        <v>2444.81</v>
      </c>
    </row>
    <row r="53">
      <c r="A53" s="2" t="inlineStr">
        <is>
          <t>FTR20241052</t>
        </is>
      </c>
      <c r="B53" s="2" t="inlineStr">
        <is>
          <t>02.06.2024</t>
        </is>
      </c>
      <c r="C53" s="2" t="inlineStr">
        <is>
          <t>H34052</t>
        </is>
      </c>
      <c r="D53" s="2" t="inlineStr">
        <is>
          <t>Nurgül Kılıç</t>
        </is>
      </c>
      <c r="E53" s="2" t="inlineStr">
        <is>
          <t>İzmir</t>
        </is>
      </c>
      <c r="F53" s="2" t="inlineStr">
        <is>
          <t>Gaziemir</t>
        </is>
      </c>
      <c r="G53" s="2" t="inlineStr">
        <is>
          <t>Su</t>
        </is>
      </c>
      <c r="H53" s="3" t="n">
        <v>3941</v>
      </c>
      <c r="I53" s="3" t="n">
        <v>4014</v>
      </c>
      <c r="J53" s="3" t="n">
        <v>73</v>
      </c>
      <c r="K53" s="2" t="inlineStr">
        <is>
          <t>m³</t>
        </is>
      </c>
      <c r="L53" s="4" t="n">
        <v>10.2</v>
      </c>
      <c r="M53" s="4" t="n">
        <v>744.5999999999999</v>
      </c>
      <c r="N53" s="4" t="n">
        <v>15.5</v>
      </c>
      <c r="O53" s="4" t="n">
        <v>136.82</v>
      </c>
      <c r="P53" s="4" t="n">
        <v>896.9199999999998</v>
      </c>
    </row>
    <row r="54">
      <c r="A54" s="2" t="inlineStr">
        <is>
          <t>FTR20241053</t>
        </is>
      </c>
      <c r="B54" s="2" t="inlineStr">
        <is>
          <t>05.06.2024</t>
        </is>
      </c>
      <c r="C54" s="2" t="inlineStr">
        <is>
          <t>H34053</t>
        </is>
      </c>
      <c r="D54" s="2" t="inlineStr">
        <is>
          <t>İbrahim Koçak</t>
        </is>
      </c>
      <c r="E54" s="2" t="inlineStr">
        <is>
          <t>Ankara</t>
        </is>
      </c>
      <c r="F54" s="2" t="inlineStr">
        <is>
          <t>Çankaya</t>
        </is>
      </c>
      <c r="G54" s="2" t="inlineStr">
        <is>
          <t>Doğalgaz</t>
        </is>
      </c>
      <c r="H54" s="3" t="n">
        <v>5691</v>
      </c>
      <c r="I54" s="3" t="n">
        <v>6150</v>
      </c>
      <c r="J54" s="3" t="n">
        <v>459</v>
      </c>
      <c r="K54" s="2" t="inlineStr">
        <is>
          <t>m³</t>
        </is>
      </c>
      <c r="L54" s="4" t="n">
        <v>5.61</v>
      </c>
      <c r="M54" s="4" t="n">
        <v>2574.99</v>
      </c>
      <c r="N54" s="4" t="n">
        <v>12</v>
      </c>
      <c r="O54" s="4" t="n">
        <v>465.66</v>
      </c>
      <c r="P54" s="4" t="n">
        <v>3052.65</v>
      </c>
    </row>
    <row r="55">
      <c r="A55" s="2" t="inlineStr">
        <is>
          <t>FTR20241054</t>
        </is>
      </c>
      <c r="B55" s="2" t="inlineStr">
        <is>
          <t>08.06.2024</t>
        </is>
      </c>
      <c r="C55" s="2" t="inlineStr">
        <is>
          <t>H34054</t>
        </is>
      </c>
      <c r="D55" s="2" t="inlineStr">
        <is>
          <t>Hasan Özdemir</t>
        </is>
      </c>
      <c r="E55" s="2" t="inlineStr">
        <is>
          <t>Antalya</t>
        </is>
      </c>
      <c r="F55" s="2" t="inlineStr">
        <is>
          <t>Merkez</t>
        </is>
      </c>
      <c r="G55" s="2" t="inlineStr">
        <is>
          <t>Doğalgaz</t>
        </is>
      </c>
      <c r="H55" s="3" t="n">
        <v>15486</v>
      </c>
      <c r="I55" s="3" t="n">
        <v>15794</v>
      </c>
      <c r="J55" s="3" t="n">
        <v>308</v>
      </c>
      <c r="K55" s="2" t="inlineStr">
        <is>
          <t>m³</t>
        </is>
      </c>
      <c r="L55" s="4" t="n">
        <v>6.73</v>
      </c>
      <c r="M55" s="4" t="n">
        <v>2072.84</v>
      </c>
      <c r="N55" s="4" t="n">
        <v>12</v>
      </c>
      <c r="O55" s="4" t="n">
        <v>375.27</v>
      </c>
      <c r="P55" s="4" t="n">
        <v>2460.11</v>
      </c>
    </row>
    <row r="56">
      <c r="A56" s="2" t="inlineStr">
        <is>
          <t>FTR20241055</t>
        </is>
      </c>
      <c r="B56" s="2" t="inlineStr">
        <is>
          <t>11.06.2024</t>
        </is>
      </c>
      <c r="C56" s="2" t="inlineStr">
        <is>
          <t>H34055</t>
        </is>
      </c>
      <c r="D56" s="2" t="inlineStr">
        <is>
          <t>Gülbahar Şimşek</t>
        </is>
      </c>
      <c r="E56" s="2" t="inlineStr">
        <is>
          <t>Konya</t>
        </is>
      </c>
      <c r="F56" s="2" t="inlineStr">
        <is>
          <t>Merkez</t>
        </is>
      </c>
      <c r="G56" s="2" t="inlineStr">
        <is>
          <t>Elektrik</t>
        </is>
      </c>
      <c r="H56" s="3" t="n">
        <v>28352</v>
      </c>
      <c r="I56" s="3" t="n">
        <v>28827</v>
      </c>
      <c r="J56" s="3" t="n">
        <v>475</v>
      </c>
      <c r="K56" s="2" t="inlineStr">
        <is>
          <t>kWh</t>
        </is>
      </c>
      <c r="L56" s="4" t="n">
        <v>5.71</v>
      </c>
      <c r="M56" s="4" t="n">
        <v>2712.25</v>
      </c>
      <c r="N56" s="4" t="n">
        <v>25</v>
      </c>
      <c r="O56" s="4" t="n">
        <v>492.7</v>
      </c>
      <c r="P56" s="4" t="n">
        <v>3229.95</v>
      </c>
    </row>
    <row r="57">
      <c r="A57" s="2" t="inlineStr">
        <is>
          <t>FTR20241056</t>
        </is>
      </c>
      <c r="B57" s="2" t="inlineStr">
        <is>
          <t>14.06.2024</t>
        </is>
      </c>
      <c r="C57" s="2" t="inlineStr">
        <is>
          <t>H34056</t>
        </is>
      </c>
      <c r="D57" s="2" t="inlineStr">
        <is>
          <t>Ahmet Yılmaz</t>
        </is>
      </c>
      <c r="E57" s="2" t="inlineStr">
        <is>
          <t>Gaziantep</t>
        </is>
      </c>
      <c r="F57" s="2" t="inlineStr">
        <is>
          <t>Merkez</t>
        </is>
      </c>
      <c r="G57" s="2" t="inlineStr">
        <is>
          <t>Su</t>
        </is>
      </c>
      <c r="H57" s="3" t="n">
        <v>3139</v>
      </c>
      <c r="I57" s="3" t="n">
        <v>3194</v>
      </c>
      <c r="J57" s="3" t="n">
        <v>55</v>
      </c>
      <c r="K57" s="2" t="inlineStr">
        <is>
          <t>m³</t>
        </is>
      </c>
      <c r="L57" s="4" t="n">
        <v>9.300000000000001</v>
      </c>
      <c r="M57" s="4" t="n">
        <v>511.5000000000001</v>
      </c>
      <c r="N57" s="4" t="n">
        <v>15.5</v>
      </c>
      <c r="O57" s="4" t="n">
        <v>94.86</v>
      </c>
      <c r="P57" s="4" t="n">
        <v>621.86</v>
      </c>
    </row>
    <row r="58">
      <c r="A58" s="2" t="inlineStr">
        <is>
          <t>FTR20241057</t>
        </is>
      </c>
      <c r="B58" s="2" t="inlineStr">
        <is>
          <t>17.06.2024</t>
        </is>
      </c>
      <c r="C58" s="2" t="inlineStr">
        <is>
          <t>H34057</t>
        </is>
      </c>
      <c r="D58" s="2" t="inlineStr">
        <is>
          <t>Zeynep Arslan</t>
        </is>
      </c>
      <c r="E58" s="2" t="inlineStr">
        <is>
          <t>İzmir</t>
        </is>
      </c>
      <c r="F58" s="2" t="inlineStr">
        <is>
          <t>Alsancak</t>
        </is>
      </c>
      <c r="G58" s="2" t="inlineStr">
        <is>
          <t>Elektrik</t>
        </is>
      </c>
      <c r="H58" s="3" t="n">
        <v>49267</v>
      </c>
      <c r="I58" s="3" t="n">
        <v>50064</v>
      </c>
      <c r="J58" s="3" t="n">
        <v>797</v>
      </c>
      <c r="K58" s="2" t="inlineStr">
        <is>
          <t>kWh</t>
        </is>
      </c>
      <c r="L58" s="4" t="n">
        <v>7.78</v>
      </c>
      <c r="M58" s="4" t="n">
        <v>6200.66</v>
      </c>
      <c r="N58" s="4" t="n">
        <v>25</v>
      </c>
      <c r="O58" s="4" t="n">
        <v>1120.62</v>
      </c>
      <c r="P58" s="4" t="n">
        <v>7346.28</v>
      </c>
    </row>
    <row r="59">
      <c r="A59" s="2" t="inlineStr">
        <is>
          <t>FTR20241058</t>
        </is>
      </c>
      <c r="B59" s="2" t="inlineStr">
        <is>
          <t>20.06.2024</t>
        </is>
      </c>
      <c r="C59" s="2" t="inlineStr">
        <is>
          <t>H34058</t>
        </is>
      </c>
      <c r="D59" s="2" t="inlineStr">
        <is>
          <t>Ahmet Yılmaz</t>
        </is>
      </c>
      <c r="E59" s="2" t="inlineStr">
        <is>
          <t>Ankara</t>
        </is>
      </c>
      <c r="F59" s="2" t="inlineStr">
        <is>
          <t>Yenimahalle</t>
        </is>
      </c>
      <c r="G59" s="2" t="inlineStr">
        <is>
          <t>Su</t>
        </is>
      </c>
      <c r="H59" s="3" t="n">
        <v>4689</v>
      </c>
      <c r="I59" s="3" t="n">
        <v>4724</v>
      </c>
      <c r="J59" s="3" t="n">
        <v>35</v>
      </c>
      <c r="K59" s="2" t="inlineStr">
        <is>
          <t>m³</t>
        </is>
      </c>
      <c r="L59" s="4" t="n">
        <v>8.52</v>
      </c>
      <c r="M59" s="4" t="n">
        <v>298.2</v>
      </c>
      <c r="N59" s="4" t="n">
        <v>15.5</v>
      </c>
      <c r="O59" s="4" t="n">
        <v>56.47</v>
      </c>
      <c r="P59" s="4" t="n">
        <v>370.17</v>
      </c>
    </row>
    <row r="60">
      <c r="A60" s="2" t="inlineStr">
        <is>
          <t>FTR20241059</t>
        </is>
      </c>
      <c r="B60" s="2" t="inlineStr">
        <is>
          <t>23.06.2024</t>
        </is>
      </c>
      <c r="C60" s="2" t="inlineStr">
        <is>
          <t>H34059</t>
        </is>
      </c>
      <c r="D60" s="2" t="inlineStr">
        <is>
          <t>Kadir Doğan</t>
        </is>
      </c>
      <c r="E60" s="2" t="inlineStr">
        <is>
          <t>Ankara</t>
        </is>
      </c>
      <c r="F60" s="2" t="inlineStr">
        <is>
          <t>Mamak</t>
        </is>
      </c>
      <c r="G60" s="2" t="inlineStr">
        <is>
          <t>Doğalgaz</t>
        </is>
      </c>
      <c r="H60" s="3" t="n">
        <v>12689</v>
      </c>
      <c r="I60" s="3" t="n">
        <v>12775</v>
      </c>
      <c r="J60" s="3" t="n">
        <v>86</v>
      </c>
      <c r="K60" s="2" t="inlineStr">
        <is>
          <t>m³</t>
        </is>
      </c>
      <c r="L60" s="4" t="n">
        <v>5.88</v>
      </c>
      <c r="M60" s="4" t="n">
        <v>505.68</v>
      </c>
      <c r="N60" s="4" t="n">
        <v>12</v>
      </c>
      <c r="O60" s="4" t="n">
        <v>93.18000000000001</v>
      </c>
      <c r="P60" s="4" t="n">
        <v>610.8600000000001</v>
      </c>
    </row>
    <row r="61">
      <c r="A61" s="2" t="inlineStr">
        <is>
          <t>FTR20241060</t>
        </is>
      </c>
      <c r="B61" s="2" t="inlineStr">
        <is>
          <t>26.06.2024</t>
        </is>
      </c>
      <c r="C61" s="2" t="inlineStr">
        <is>
          <t>H34060</t>
        </is>
      </c>
      <c r="D61" s="2" t="inlineStr">
        <is>
          <t>Gülbahar Şimşek</t>
        </is>
      </c>
      <c r="E61" s="2" t="inlineStr">
        <is>
          <t>Ankara</t>
        </is>
      </c>
      <c r="F61" s="2" t="inlineStr">
        <is>
          <t>Mamak</t>
        </is>
      </c>
      <c r="G61" s="2" t="inlineStr">
        <is>
          <t>Su</t>
        </is>
      </c>
      <c r="H61" s="3" t="n">
        <v>1496</v>
      </c>
      <c r="I61" s="3" t="n">
        <v>1571</v>
      </c>
      <c r="J61" s="3" t="n">
        <v>75</v>
      </c>
      <c r="K61" s="2" t="inlineStr">
        <is>
          <t>m³</t>
        </is>
      </c>
      <c r="L61" s="4" t="n">
        <v>11.89</v>
      </c>
      <c r="M61" s="4" t="n">
        <v>891.75</v>
      </c>
      <c r="N61" s="4" t="n">
        <v>15.5</v>
      </c>
      <c r="O61" s="4" t="n">
        <v>163.31</v>
      </c>
      <c r="P61" s="4" t="n">
        <v>1070.56</v>
      </c>
    </row>
    <row r="62">
      <c r="A62" s="2" t="inlineStr">
        <is>
          <t>FTR20241061</t>
        </is>
      </c>
      <c r="B62" s="2" t="inlineStr">
        <is>
          <t>29.06.2024</t>
        </is>
      </c>
      <c r="C62" s="2" t="inlineStr">
        <is>
          <t>H34061</t>
        </is>
      </c>
      <c r="D62" s="2" t="inlineStr">
        <is>
          <t>Hasan Özdemir</t>
        </is>
      </c>
      <c r="E62" s="2" t="inlineStr">
        <is>
          <t>Bursa</t>
        </is>
      </c>
      <c r="F62" s="2" t="inlineStr">
        <is>
          <t>Merkez</t>
        </is>
      </c>
      <c r="G62" s="2" t="inlineStr">
        <is>
          <t>Doğalgaz</t>
        </is>
      </c>
      <c r="H62" s="3" t="n">
        <v>1621</v>
      </c>
      <c r="I62" s="3" t="n">
        <v>1817</v>
      </c>
      <c r="J62" s="3" t="n">
        <v>196</v>
      </c>
      <c r="K62" s="2" t="inlineStr">
        <is>
          <t>m³</t>
        </is>
      </c>
      <c r="L62" s="4" t="n">
        <v>5.71</v>
      </c>
      <c r="M62" s="4" t="n">
        <v>1119.16</v>
      </c>
      <c r="N62" s="4" t="n">
        <v>12</v>
      </c>
      <c r="O62" s="4" t="n">
        <v>203.61</v>
      </c>
      <c r="P62" s="4" t="n">
        <v>1334.77</v>
      </c>
    </row>
    <row r="63">
      <c r="A63" s="2" t="inlineStr">
        <is>
          <t>FTR20241062</t>
        </is>
      </c>
      <c r="B63" s="2" t="inlineStr">
        <is>
          <t>02.07.2024</t>
        </is>
      </c>
      <c r="C63" s="2" t="inlineStr">
        <is>
          <t>H34062</t>
        </is>
      </c>
      <c r="D63" s="2" t="inlineStr">
        <is>
          <t>Gülbahar Şimşek</t>
        </is>
      </c>
      <c r="E63" s="2" t="inlineStr">
        <is>
          <t>Gaziantep</t>
        </is>
      </c>
      <c r="F63" s="2" t="inlineStr">
        <is>
          <t>Merkez</t>
        </is>
      </c>
      <c r="G63" s="2" t="inlineStr">
        <is>
          <t>Elektrik</t>
        </is>
      </c>
      <c r="H63" s="3" t="n">
        <v>16945</v>
      </c>
      <c r="I63" s="3" t="n">
        <v>17419</v>
      </c>
      <c r="J63" s="3" t="n">
        <v>474</v>
      </c>
      <c r="K63" s="2" t="inlineStr">
        <is>
          <t>kWh</t>
        </is>
      </c>
      <c r="L63" s="4" t="n">
        <v>5.57</v>
      </c>
      <c r="M63" s="4" t="n">
        <v>2640.18</v>
      </c>
      <c r="N63" s="4" t="n">
        <v>25</v>
      </c>
      <c r="O63" s="4" t="n">
        <v>479.73</v>
      </c>
      <c r="P63" s="4" t="n">
        <v>3144.91</v>
      </c>
    </row>
    <row r="64">
      <c r="A64" s="2" t="inlineStr">
        <is>
          <t>FTR20241063</t>
        </is>
      </c>
      <c r="B64" s="2" t="inlineStr">
        <is>
          <t>05.07.2024</t>
        </is>
      </c>
      <c r="C64" s="2" t="inlineStr">
        <is>
          <t>H34063</t>
        </is>
      </c>
      <c r="D64" s="2" t="inlineStr">
        <is>
          <t>Mehmet Kaya</t>
        </is>
      </c>
      <c r="E64" s="2" t="inlineStr">
        <is>
          <t>Ankara</t>
        </is>
      </c>
      <c r="F64" s="2" t="inlineStr">
        <is>
          <t>Mamak</t>
        </is>
      </c>
      <c r="G64" s="2" t="inlineStr">
        <is>
          <t>Elektrik</t>
        </is>
      </c>
      <c r="H64" s="3" t="n">
        <v>23364</v>
      </c>
      <c r="I64" s="3" t="n">
        <v>23764</v>
      </c>
      <c r="J64" s="3" t="n">
        <v>400</v>
      </c>
      <c r="K64" s="2" t="inlineStr">
        <is>
          <t>kWh</t>
        </is>
      </c>
      <c r="L64" s="4" t="n">
        <v>8.42</v>
      </c>
      <c r="M64" s="4" t="n">
        <v>3368</v>
      </c>
      <c r="N64" s="4" t="n">
        <v>25</v>
      </c>
      <c r="O64" s="4" t="n">
        <v>610.74</v>
      </c>
      <c r="P64" s="4" t="n">
        <v>4003.74</v>
      </c>
    </row>
    <row r="65">
      <c r="A65" s="2" t="inlineStr">
        <is>
          <t>FTR20241064</t>
        </is>
      </c>
      <c r="B65" s="2" t="inlineStr">
        <is>
          <t>08.07.2024</t>
        </is>
      </c>
      <c r="C65" s="2" t="inlineStr">
        <is>
          <t>H34064</t>
        </is>
      </c>
      <c r="D65" s="2" t="inlineStr">
        <is>
          <t>İbrahim Koçak</t>
        </is>
      </c>
      <c r="E65" s="2" t="inlineStr">
        <is>
          <t>Adana</t>
        </is>
      </c>
      <c r="F65" s="2" t="inlineStr">
        <is>
          <t>Merkez</t>
        </is>
      </c>
      <c r="G65" s="2" t="inlineStr">
        <is>
          <t>Elektrik</t>
        </is>
      </c>
      <c r="H65" s="3" t="n">
        <v>25727</v>
      </c>
      <c r="I65" s="3" t="n">
        <v>26092</v>
      </c>
      <c r="J65" s="3" t="n">
        <v>365</v>
      </c>
      <c r="K65" s="2" t="inlineStr">
        <is>
          <t>kWh</t>
        </is>
      </c>
      <c r="L65" s="4" t="n">
        <v>5.76</v>
      </c>
      <c r="M65" s="4" t="n">
        <v>2102.4</v>
      </c>
      <c r="N65" s="4" t="n">
        <v>25</v>
      </c>
      <c r="O65" s="4" t="n">
        <v>382.93</v>
      </c>
      <c r="P65" s="4" t="n">
        <v>2510.33</v>
      </c>
    </row>
    <row r="66">
      <c r="A66" s="2" t="inlineStr">
        <is>
          <t>FTR20241065</t>
        </is>
      </c>
      <c r="B66" s="2" t="inlineStr">
        <is>
          <t>11.07.2024</t>
        </is>
      </c>
      <c r="C66" s="2" t="inlineStr">
        <is>
          <t>H34065</t>
        </is>
      </c>
      <c r="D66" s="2" t="inlineStr">
        <is>
          <t>İbrahim Koçak</t>
        </is>
      </c>
      <c r="E66" s="2" t="inlineStr">
        <is>
          <t>Ankara</t>
        </is>
      </c>
      <c r="F66" s="2" t="inlineStr">
        <is>
          <t>Çankaya</t>
        </is>
      </c>
      <c r="G66" s="2" t="inlineStr">
        <is>
          <t>Elektrik</t>
        </is>
      </c>
      <c r="H66" s="3" t="n">
        <v>27358</v>
      </c>
      <c r="I66" s="3" t="n">
        <v>28000</v>
      </c>
      <c r="J66" s="3" t="n">
        <v>642</v>
      </c>
      <c r="K66" s="2" t="inlineStr">
        <is>
          <t>kWh</t>
        </is>
      </c>
      <c r="L66" s="4" t="n">
        <v>7.82</v>
      </c>
      <c r="M66" s="4" t="n">
        <v>5020.440000000001</v>
      </c>
      <c r="N66" s="4" t="n">
        <v>25</v>
      </c>
      <c r="O66" s="4" t="n">
        <v>908.1799999999999</v>
      </c>
      <c r="P66" s="4" t="n">
        <v>5953.620000000001</v>
      </c>
    </row>
    <row r="67">
      <c r="A67" s="2" t="inlineStr">
        <is>
          <t>FTR20241066</t>
        </is>
      </c>
      <c r="B67" s="2" t="inlineStr">
        <is>
          <t>14.07.2024</t>
        </is>
      </c>
      <c r="C67" s="2" t="inlineStr">
        <is>
          <t>H34066</t>
        </is>
      </c>
      <c r="D67" s="2" t="inlineStr">
        <is>
          <t>Hasan Özdemir</t>
        </is>
      </c>
      <c r="E67" s="2" t="inlineStr">
        <is>
          <t>Antalya</t>
        </is>
      </c>
      <c r="F67" s="2" t="inlineStr">
        <is>
          <t>Merkez</t>
        </is>
      </c>
      <c r="G67" s="2" t="inlineStr">
        <is>
          <t>Doğalgaz</t>
        </is>
      </c>
      <c r="H67" s="3" t="n">
        <v>2401</v>
      </c>
      <c r="I67" s="3" t="n">
        <v>2777</v>
      </c>
      <c r="J67" s="3" t="n">
        <v>376</v>
      </c>
      <c r="K67" s="2" t="inlineStr">
        <is>
          <t>m³</t>
        </is>
      </c>
      <c r="L67" s="4" t="n">
        <v>5.18</v>
      </c>
      <c r="M67" s="4" t="n">
        <v>1947.68</v>
      </c>
      <c r="N67" s="4" t="n">
        <v>12</v>
      </c>
      <c r="O67" s="4" t="n">
        <v>352.74</v>
      </c>
      <c r="P67" s="4" t="n">
        <v>2312.42</v>
      </c>
    </row>
    <row r="68">
      <c r="A68" s="2" t="inlineStr">
        <is>
          <t>FTR20241067</t>
        </is>
      </c>
      <c r="B68" s="2" t="inlineStr">
        <is>
          <t>17.07.2024</t>
        </is>
      </c>
      <c r="C68" s="2" t="inlineStr">
        <is>
          <t>H34067</t>
        </is>
      </c>
      <c r="D68" s="2" t="inlineStr">
        <is>
          <t>İbrahim Koçak</t>
        </is>
      </c>
      <c r="E68" s="2" t="inlineStr">
        <is>
          <t>Antalya</t>
        </is>
      </c>
      <c r="F68" s="2" t="inlineStr">
        <is>
          <t>Merkez</t>
        </is>
      </c>
      <c r="G68" s="2" t="inlineStr">
        <is>
          <t>Su</t>
        </is>
      </c>
      <c r="H68" s="3" t="n">
        <v>550</v>
      </c>
      <c r="I68" s="3" t="n">
        <v>601</v>
      </c>
      <c r="J68" s="3" t="n">
        <v>51</v>
      </c>
      <c r="K68" s="2" t="inlineStr">
        <is>
          <t>m³</t>
        </is>
      </c>
      <c r="L68" s="4" t="n">
        <v>10</v>
      </c>
      <c r="M68" s="4" t="n">
        <v>510</v>
      </c>
      <c r="N68" s="4" t="n">
        <v>15.5</v>
      </c>
      <c r="O68" s="4" t="n">
        <v>94.59</v>
      </c>
      <c r="P68" s="4" t="n">
        <v>620.09</v>
      </c>
    </row>
    <row r="69">
      <c r="A69" s="2" t="inlineStr">
        <is>
          <t>FTR20241068</t>
        </is>
      </c>
      <c r="B69" s="2" t="inlineStr">
        <is>
          <t>20.07.2024</t>
        </is>
      </c>
      <c r="C69" s="2" t="inlineStr">
        <is>
          <t>H34068</t>
        </is>
      </c>
      <c r="D69" s="2" t="inlineStr">
        <is>
          <t>Zeynep Arslan</t>
        </is>
      </c>
      <c r="E69" s="2" t="inlineStr">
        <is>
          <t>Ankara</t>
        </is>
      </c>
      <c r="F69" s="2" t="inlineStr">
        <is>
          <t>Çankaya</t>
        </is>
      </c>
      <c r="G69" s="2" t="inlineStr">
        <is>
          <t>Su</t>
        </is>
      </c>
      <c r="H69" s="3" t="n">
        <v>262</v>
      </c>
      <c r="I69" s="3" t="n">
        <v>301</v>
      </c>
      <c r="J69" s="3" t="n">
        <v>39</v>
      </c>
      <c r="K69" s="2" t="inlineStr">
        <is>
          <t>m³</t>
        </is>
      </c>
      <c r="L69" s="4" t="n">
        <v>9.699999999999999</v>
      </c>
      <c r="M69" s="4" t="n">
        <v>378.3</v>
      </c>
      <c r="N69" s="4" t="n">
        <v>15.5</v>
      </c>
      <c r="O69" s="4" t="n">
        <v>70.88</v>
      </c>
      <c r="P69" s="4" t="n">
        <v>464.6799999999999</v>
      </c>
    </row>
    <row r="70">
      <c r="A70" s="2" t="inlineStr">
        <is>
          <t>FTR20241069</t>
        </is>
      </c>
      <c r="B70" s="2" t="inlineStr">
        <is>
          <t>23.07.2024</t>
        </is>
      </c>
      <c r="C70" s="2" t="inlineStr">
        <is>
          <t>H34069</t>
        </is>
      </c>
      <c r="D70" s="2" t="inlineStr">
        <is>
          <t>Zeynep Arslan</t>
        </is>
      </c>
      <c r="E70" s="2" t="inlineStr">
        <is>
          <t>İzmir</t>
        </is>
      </c>
      <c r="F70" s="2" t="inlineStr">
        <is>
          <t>Alsancak</t>
        </is>
      </c>
      <c r="G70" s="2" t="inlineStr">
        <is>
          <t>Elektrik</t>
        </is>
      </c>
      <c r="H70" s="3" t="n">
        <v>38652</v>
      </c>
      <c r="I70" s="3" t="n">
        <v>38954</v>
      </c>
      <c r="J70" s="3" t="n">
        <v>302</v>
      </c>
      <c r="K70" s="2" t="inlineStr">
        <is>
          <t>kWh</t>
        </is>
      </c>
      <c r="L70" s="4" t="n">
        <v>8.4</v>
      </c>
      <c r="M70" s="4" t="n">
        <v>2536.8</v>
      </c>
      <c r="N70" s="4" t="n">
        <v>25</v>
      </c>
      <c r="O70" s="4" t="n">
        <v>461.12</v>
      </c>
      <c r="P70" s="4" t="n">
        <v>3022.92</v>
      </c>
    </row>
    <row r="71">
      <c r="A71" s="2" t="inlineStr">
        <is>
          <t>FTR20241070</t>
        </is>
      </c>
      <c r="B71" s="2" t="inlineStr">
        <is>
          <t>26.07.2024</t>
        </is>
      </c>
      <c r="C71" s="2" t="inlineStr">
        <is>
          <t>H34070</t>
        </is>
      </c>
      <c r="D71" s="2" t="inlineStr">
        <is>
          <t>İbrahim Koçak</t>
        </is>
      </c>
      <c r="E71" s="2" t="inlineStr">
        <is>
          <t>Gaziantep</t>
        </is>
      </c>
      <c r="F71" s="2" t="inlineStr">
        <is>
          <t>Merkez</t>
        </is>
      </c>
      <c r="G71" s="2" t="inlineStr">
        <is>
          <t>Su</t>
        </is>
      </c>
      <c r="H71" s="3" t="n">
        <v>3027</v>
      </c>
      <c r="I71" s="3" t="n">
        <v>3075</v>
      </c>
      <c r="J71" s="3" t="n">
        <v>48</v>
      </c>
      <c r="K71" s="2" t="inlineStr">
        <is>
          <t>m³</t>
        </is>
      </c>
      <c r="L71" s="4" t="n">
        <v>10.88</v>
      </c>
      <c r="M71" s="4" t="n">
        <v>522.24</v>
      </c>
      <c r="N71" s="4" t="n">
        <v>15.5</v>
      </c>
      <c r="O71" s="4" t="n">
        <v>96.79000000000001</v>
      </c>
      <c r="P71" s="4" t="n">
        <v>634.53</v>
      </c>
    </row>
    <row r="72">
      <c r="A72" s="2" t="inlineStr">
        <is>
          <t>FTR20241071</t>
        </is>
      </c>
      <c r="B72" s="2" t="inlineStr">
        <is>
          <t>29.07.2024</t>
        </is>
      </c>
      <c r="C72" s="2" t="inlineStr">
        <is>
          <t>H34071</t>
        </is>
      </c>
      <c r="D72" s="2" t="inlineStr">
        <is>
          <t>Ahmet Yılmaz</t>
        </is>
      </c>
      <c r="E72" s="2" t="inlineStr">
        <is>
          <t>Ankara</t>
        </is>
      </c>
      <c r="F72" s="2" t="inlineStr">
        <is>
          <t>Mamak</t>
        </is>
      </c>
      <c r="G72" s="2" t="inlineStr">
        <is>
          <t>Doğalgaz</t>
        </is>
      </c>
      <c r="H72" s="3" t="n">
        <v>18721</v>
      </c>
      <c r="I72" s="3" t="n">
        <v>18802</v>
      </c>
      <c r="J72" s="3" t="n">
        <v>81</v>
      </c>
      <c r="K72" s="2" t="inlineStr">
        <is>
          <t>m³</t>
        </is>
      </c>
      <c r="L72" s="4" t="n">
        <v>3.72</v>
      </c>
      <c r="M72" s="4" t="n">
        <v>301.32</v>
      </c>
      <c r="N72" s="4" t="n">
        <v>12</v>
      </c>
      <c r="O72" s="4" t="n">
        <v>56.4</v>
      </c>
      <c r="P72" s="4" t="n">
        <v>369.72</v>
      </c>
    </row>
    <row r="73">
      <c r="A73" s="2" t="inlineStr">
        <is>
          <t>FTR20241072</t>
        </is>
      </c>
      <c r="B73" s="2" t="inlineStr">
        <is>
          <t>01.08.2024</t>
        </is>
      </c>
      <c r="C73" s="2" t="inlineStr">
        <is>
          <t>H34072</t>
        </is>
      </c>
      <c r="D73" s="2" t="inlineStr">
        <is>
          <t>Hasan Özdemir</t>
        </is>
      </c>
      <c r="E73" s="2" t="inlineStr">
        <is>
          <t>Konya</t>
        </is>
      </c>
      <c r="F73" s="2" t="inlineStr">
        <is>
          <t>Merkez</t>
        </is>
      </c>
      <c r="G73" s="2" t="inlineStr">
        <is>
          <t>Doğalgaz</t>
        </is>
      </c>
      <c r="H73" s="3" t="n">
        <v>1341</v>
      </c>
      <c r="I73" s="3" t="n">
        <v>1703</v>
      </c>
      <c r="J73" s="3" t="n">
        <v>362</v>
      </c>
      <c r="K73" s="2" t="inlineStr">
        <is>
          <t>m³</t>
        </is>
      </c>
      <c r="L73" s="4" t="n">
        <v>5.14</v>
      </c>
      <c r="M73" s="4" t="n">
        <v>1860.68</v>
      </c>
      <c r="N73" s="4" t="n">
        <v>12</v>
      </c>
      <c r="O73" s="4" t="n">
        <v>337.08</v>
      </c>
      <c r="P73" s="4" t="n">
        <v>2209.76</v>
      </c>
    </row>
    <row r="74">
      <c r="A74" s="2" t="inlineStr">
        <is>
          <t>FTR20241073</t>
        </is>
      </c>
      <c r="B74" s="2" t="inlineStr">
        <is>
          <t>04.08.2024</t>
        </is>
      </c>
      <c r="C74" s="2" t="inlineStr">
        <is>
          <t>H34073</t>
        </is>
      </c>
      <c r="D74" s="2" t="inlineStr">
        <is>
          <t>Zeynep Arslan</t>
        </is>
      </c>
      <c r="E74" s="2" t="inlineStr">
        <is>
          <t>Konya</t>
        </is>
      </c>
      <c r="F74" s="2" t="inlineStr">
        <is>
          <t>Merkez</t>
        </is>
      </c>
      <c r="G74" s="2" t="inlineStr">
        <is>
          <t>Elektrik</t>
        </is>
      </c>
      <c r="H74" s="3" t="n">
        <v>25056</v>
      </c>
      <c r="I74" s="3" t="n">
        <v>25384</v>
      </c>
      <c r="J74" s="3" t="n">
        <v>328</v>
      </c>
      <c r="K74" s="2" t="inlineStr">
        <is>
          <t>kWh</t>
        </is>
      </c>
      <c r="L74" s="4" t="n">
        <v>6.47</v>
      </c>
      <c r="M74" s="4" t="n">
        <v>2122.16</v>
      </c>
      <c r="N74" s="4" t="n">
        <v>25</v>
      </c>
      <c r="O74" s="4" t="n">
        <v>386.49</v>
      </c>
      <c r="P74" s="4" t="n">
        <v>2533.65</v>
      </c>
    </row>
    <row r="75">
      <c r="A75" s="2" t="inlineStr">
        <is>
          <t>FTR20241074</t>
        </is>
      </c>
      <c r="B75" s="2" t="inlineStr">
        <is>
          <t>07.08.2024</t>
        </is>
      </c>
      <c r="C75" s="2" t="inlineStr">
        <is>
          <t>H34074</t>
        </is>
      </c>
      <c r="D75" s="2" t="inlineStr">
        <is>
          <t>Hasan Özdemir</t>
        </is>
      </c>
      <c r="E75" s="2" t="inlineStr">
        <is>
          <t>Bursa</t>
        </is>
      </c>
      <c r="F75" s="2" t="inlineStr">
        <is>
          <t>Merkez</t>
        </is>
      </c>
      <c r="G75" s="2" t="inlineStr">
        <is>
          <t>Elektrik</t>
        </is>
      </c>
      <c r="H75" s="3" t="n">
        <v>3147</v>
      </c>
      <c r="I75" s="3" t="n">
        <v>3927</v>
      </c>
      <c r="J75" s="3" t="n">
        <v>780</v>
      </c>
      <c r="K75" s="2" t="inlineStr">
        <is>
          <t>kWh</t>
        </is>
      </c>
      <c r="L75" s="4" t="n">
        <v>6.06</v>
      </c>
      <c r="M75" s="4" t="n">
        <v>4726.799999999999</v>
      </c>
      <c r="N75" s="4" t="n">
        <v>25</v>
      </c>
      <c r="O75" s="4" t="n">
        <v>855.3200000000001</v>
      </c>
      <c r="P75" s="4" t="n">
        <v>5607.119999999999</v>
      </c>
    </row>
    <row r="76">
      <c r="A76" s="2" t="inlineStr">
        <is>
          <t>FTR20241075</t>
        </is>
      </c>
      <c r="B76" s="2" t="inlineStr">
        <is>
          <t>10.08.2024</t>
        </is>
      </c>
      <c r="C76" s="2" t="inlineStr">
        <is>
          <t>H34075</t>
        </is>
      </c>
      <c r="D76" s="2" t="inlineStr">
        <is>
          <t>Gülbahar Şimşek</t>
        </is>
      </c>
      <c r="E76" s="2" t="inlineStr">
        <is>
          <t>Ankara</t>
        </is>
      </c>
      <c r="F76" s="2" t="inlineStr">
        <is>
          <t>Mamak</t>
        </is>
      </c>
      <c r="G76" s="2" t="inlineStr">
        <is>
          <t>Elektrik</t>
        </is>
      </c>
      <c r="H76" s="3" t="n">
        <v>30503</v>
      </c>
      <c r="I76" s="3" t="n">
        <v>30775</v>
      </c>
      <c r="J76" s="3" t="n">
        <v>272</v>
      </c>
      <c r="K76" s="2" t="inlineStr">
        <is>
          <t>kWh</t>
        </is>
      </c>
      <c r="L76" s="4" t="n">
        <v>7.13</v>
      </c>
      <c r="M76" s="4" t="n">
        <v>1939.36</v>
      </c>
      <c r="N76" s="4" t="n">
        <v>25</v>
      </c>
      <c r="O76" s="4" t="n">
        <v>353.58</v>
      </c>
      <c r="P76" s="4" t="n">
        <v>2317.94</v>
      </c>
    </row>
    <row r="77">
      <c r="A77" s="2" t="inlineStr">
        <is>
          <t>FTR20241076</t>
        </is>
      </c>
      <c r="B77" s="2" t="inlineStr">
        <is>
          <t>13.08.2024</t>
        </is>
      </c>
      <c r="C77" s="2" t="inlineStr">
        <is>
          <t>H34076</t>
        </is>
      </c>
      <c r="D77" s="2" t="inlineStr">
        <is>
          <t>Kadir Doğan</t>
        </is>
      </c>
      <c r="E77" s="2" t="inlineStr">
        <is>
          <t>Gaziantep</t>
        </is>
      </c>
      <c r="F77" s="2" t="inlineStr">
        <is>
          <t>Merkez</t>
        </is>
      </c>
      <c r="G77" s="2" t="inlineStr">
        <is>
          <t>Doğalgaz</t>
        </is>
      </c>
      <c r="H77" s="3" t="n">
        <v>794</v>
      </c>
      <c r="I77" s="3" t="n">
        <v>1025</v>
      </c>
      <c r="J77" s="3" t="n">
        <v>231</v>
      </c>
      <c r="K77" s="2" t="inlineStr">
        <is>
          <t>m³</t>
        </is>
      </c>
      <c r="L77" s="4" t="n">
        <v>3.98</v>
      </c>
      <c r="M77" s="4" t="n">
        <v>919.38</v>
      </c>
      <c r="N77" s="4" t="n">
        <v>12</v>
      </c>
      <c r="O77" s="4" t="n">
        <v>167.65</v>
      </c>
      <c r="P77" s="4" t="n">
        <v>1099.03</v>
      </c>
    </row>
    <row r="78">
      <c r="A78" s="2" t="inlineStr">
        <is>
          <t>FTR20241077</t>
        </is>
      </c>
      <c r="B78" s="2" t="inlineStr">
        <is>
          <t>16.08.2024</t>
        </is>
      </c>
      <c r="C78" s="2" t="inlineStr">
        <is>
          <t>H34077</t>
        </is>
      </c>
      <c r="D78" s="2" t="inlineStr">
        <is>
          <t>Zeynep Arslan</t>
        </is>
      </c>
      <c r="E78" s="2" t="inlineStr">
        <is>
          <t>İzmir</t>
        </is>
      </c>
      <c r="F78" s="2" t="inlineStr">
        <is>
          <t>Konak</t>
        </is>
      </c>
      <c r="G78" s="2" t="inlineStr">
        <is>
          <t>Elektrik</t>
        </is>
      </c>
      <c r="H78" s="3" t="n">
        <v>37795</v>
      </c>
      <c r="I78" s="3" t="n">
        <v>38447</v>
      </c>
      <c r="J78" s="3" t="n">
        <v>652</v>
      </c>
      <c r="K78" s="2" t="inlineStr">
        <is>
          <t>kWh</t>
        </is>
      </c>
      <c r="L78" s="4" t="n">
        <v>4.93</v>
      </c>
      <c r="M78" s="4" t="n">
        <v>3214.36</v>
      </c>
      <c r="N78" s="4" t="n">
        <v>25</v>
      </c>
      <c r="O78" s="4" t="n">
        <v>583.08</v>
      </c>
      <c r="P78" s="4" t="n">
        <v>3822.44</v>
      </c>
    </row>
    <row r="79">
      <c r="A79" s="2" t="inlineStr">
        <is>
          <t>FTR20241078</t>
        </is>
      </c>
      <c r="B79" s="2" t="inlineStr">
        <is>
          <t>19.08.2024</t>
        </is>
      </c>
      <c r="C79" s="2" t="inlineStr">
        <is>
          <t>H34078</t>
        </is>
      </c>
      <c r="D79" s="2" t="inlineStr">
        <is>
          <t>Gülbahar Şimşek</t>
        </is>
      </c>
      <c r="E79" s="2" t="inlineStr">
        <is>
          <t>Antalya</t>
        </is>
      </c>
      <c r="F79" s="2" t="inlineStr">
        <is>
          <t>Merkez</t>
        </is>
      </c>
      <c r="G79" s="2" t="inlineStr">
        <is>
          <t>Doğalgaz</t>
        </is>
      </c>
      <c r="H79" s="3" t="n">
        <v>5816</v>
      </c>
      <c r="I79" s="3" t="n">
        <v>5926</v>
      </c>
      <c r="J79" s="3" t="n">
        <v>110</v>
      </c>
      <c r="K79" s="2" t="inlineStr">
        <is>
          <t>m³</t>
        </is>
      </c>
      <c r="L79" s="4" t="n">
        <v>6.74</v>
      </c>
      <c r="M79" s="4" t="n">
        <v>741.4</v>
      </c>
      <c r="N79" s="4" t="n">
        <v>12</v>
      </c>
      <c r="O79" s="4" t="n">
        <v>135.61</v>
      </c>
      <c r="P79" s="4" t="n">
        <v>889.01</v>
      </c>
    </row>
    <row r="80">
      <c r="A80" s="2" t="inlineStr">
        <is>
          <t>FTR20241079</t>
        </is>
      </c>
      <c r="B80" s="2" t="inlineStr">
        <is>
          <t>22.08.2024</t>
        </is>
      </c>
      <c r="C80" s="2" t="inlineStr">
        <is>
          <t>H34079</t>
        </is>
      </c>
      <c r="D80" s="2" t="inlineStr">
        <is>
          <t>Gülbahar Şimşek</t>
        </is>
      </c>
      <c r="E80" s="2" t="inlineStr">
        <is>
          <t>Bursa</t>
        </is>
      </c>
      <c r="F80" s="2" t="inlineStr">
        <is>
          <t>Merkez</t>
        </is>
      </c>
      <c r="G80" s="2" t="inlineStr">
        <is>
          <t>Su</t>
        </is>
      </c>
      <c r="H80" s="3" t="n">
        <v>4136</v>
      </c>
      <c r="I80" s="3" t="n">
        <v>4195</v>
      </c>
      <c r="J80" s="3" t="n">
        <v>59</v>
      </c>
      <c r="K80" s="2" t="inlineStr">
        <is>
          <t>m³</t>
        </is>
      </c>
      <c r="L80" s="4" t="n">
        <v>9.15</v>
      </c>
      <c r="M80" s="4" t="n">
        <v>539.85</v>
      </c>
      <c r="N80" s="4" t="n">
        <v>15.5</v>
      </c>
      <c r="O80" s="4" t="n">
        <v>99.95999999999999</v>
      </c>
      <c r="P80" s="4" t="n">
        <v>655.3100000000001</v>
      </c>
    </row>
    <row r="81">
      <c r="A81" s="2" t="inlineStr">
        <is>
          <t>FTR20241080</t>
        </is>
      </c>
      <c r="B81" s="2" t="inlineStr">
        <is>
          <t>25.08.2024</t>
        </is>
      </c>
      <c r="C81" s="2" t="inlineStr">
        <is>
          <t>H34080</t>
        </is>
      </c>
      <c r="D81" s="2" t="inlineStr">
        <is>
          <t>Kadir Doğan</t>
        </is>
      </c>
      <c r="E81" s="2" t="inlineStr">
        <is>
          <t>İzmir</t>
        </is>
      </c>
      <c r="F81" s="2" t="inlineStr">
        <is>
          <t>Gaziemir</t>
        </is>
      </c>
      <c r="G81" s="2" t="inlineStr">
        <is>
          <t>Elektrik</t>
        </is>
      </c>
      <c r="H81" s="3" t="n">
        <v>20416</v>
      </c>
      <c r="I81" s="3" t="n">
        <v>20541</v>
      </c>
      <c r="J81" s="3" t="n">
        <v>125</v>
      </c>
      <c r="K81" s="2" t="inlineStr">
        <is>
          <t>kWh</t>
        </is>
      </c>
      <c r="L81" s="4" t="n">
        <v>5.63</v>
      </c>
      <c r="M81" s="4" t="n">
        <v>703.75</v>
      </c>
      <c r="N81" s="4" t="n">
        <v>25</v>
      </c>
      <c r="O81" s="4" t="n">
        <v>131.17</v>
      </c>
      <c r="P81" s="4" t="n">
        <v>859.92</v>
      </c>
    </row>
    <row r="82">
      <c r="A82" s="2" t="inlineStr">
        <is>
          <t>FTR20241081</t>
        </is>
      </c>
      <c r="B82" s="2" t="inlineStr">
        <is>
          <t>28.08.2024</t>
        </is>
      </c>
      <c r="C82" s="2" t="inlineStr">
        <is>
          <t>H34081</t>
        </is>
      </c>
      <c r="D82" s="2" t="inlineStr">
        <is>
          <t>Nurgül Kılıç</t>
        </is>
      </c>
      <c r="E82" s="2" t="inlineStr">
        <is>
          <t>Gaziantep</t>
        </is>
      </c>
      <c r="F82" s="2" t="inlineStr">
        <is>
          <t>Merkez</t>
        </is>
      </c>
      <c r="G82" s="2" t="inlineStr">
        <is>
          <t>Su</t>
        </is>
      </c>
      <c r="H82" s="3" t="n">
        <v>2844</v>
      </c>
      <c r="I82" s="3" t="n">
        <v>2984</v>
      </c>
      <c r="J82" s="3" t="n">
        <v>140</v>
      </c>
      <c r="K82" s="2" t="inlineStr">
        <is>
          <t>m³</t>
        </is>
      </c>
      <c r="L82" s="4" t="n">
        <v>11.55</v>
      </c>
      <c r="M82" s="4" t="n">
        <v>1617</v>
      </c>
      <c r="N82" s="4" t="n">
        <v>15.5</v>
      </c>
      <c r="O82" s="4" t="n">
        <v>293.85</v>
      </c>
      <c r="P82" s="4" t="n">
        <v>1926.35</v>
      </c>
    </row>
    <row r="83">
      <c r="A83" s="2" t="inlineStr">
        <is>
          <t>FTR20241082</t>
        </is>
      </c>
      <c r="B83" s="2" t="inlineStr">
        <is>
          <t>31.08.2024</t>
        </is>
      </c>
      <c r="C83" s="2" t="inlineStr">
        <is>
          <t>H34082</t>
        </is>
      </c>
      <c r="D83" s="2" t="inlineStr">
        <is>
          <t>Mehmet Kaya</t>
        </is>
      </c>
      <c r="E83" s="2" t="inlineStr">
        <is>
          <t>Konya</t>
        </is>
      </c>
      <c r="F83" s="2" t="inlineStr">
        <is>
          <t>Merkez</t>
        </is>
      </c>
      <c r="G83" s="2" t="inlineStr">
        <is>
          <t>Doğalgaz</t>
        </is>
      </c>
      <c r="H83" s="3" t="n">
        <v>4332</v>
      </c>
      <c r="I83" s="3" t="n">
        <v>4435</v>
      </c>
      <c r="J83" s="3" t="n">
        <v>103</v>
      </c>
      <c r="K83" s="2" t="inlineStr">
        <is>
          <t>m³</t>
        </is>
      </c>
      <c r="L83" s="4" t="n">
        <v>6.1</v>
      </c>
      <c r="M83" s="4" t="n">
        <v>628.3</v>
      </c>
      <c r="N83" s="4" t="n">
        <v>12</v>
      </c>
      <c r="O83" s="4" t="n">
        <v>115.25</v>
      </c>
      <c r="P83" s="4" t="n">
        <v>755.55</v>
      </c>
    </row>
    <row r="84">
      <c r="A84" s="2" t="inlineStr">
        <is>
          <t>FTR20241083</t>
        </is>
      </c>
      <c r="B84" s="2" t="inlineStr">
        <is>
          <t>03.09.2024</t>
        </is>
      </c>
      <c r="C84" s="2" t="inlineStr">
        <is>
          <t>H34083</t>
        </is>
      </c>
      <c r="D84" s="2" t="inlineStr">
        <is>
          <t>Ahmet Yılmaz</t>
        </is>
      </c>
      <c r="E84" s="2" t="inlineStr">
        <is>
          <t>Gaziantep</t>
        </is>
      </c>
      <c r="F84" s="2" t="inlineStr">
        <is>
          <t>Merkez</t>
        </is>
      </c>
      <c r="G84" s="2" t="inlineStr">
        <is>
          <t>Elektrik</t>
        </is>
      </c>
      <c r="H84" s="3" t="n">
        <v>41484</v>
      </c>
      <c r="I84" s="3" t="n">
        <v>42168</v>
      </c>
      <c r="J84" s="3" t="n">
        <v>684</v>
      </c>
      <c r="K84" s="2" t="inlineStr">
        <is>
          <t>kWh</t>
        </is>
      </c>
      <c r="L84" s="4" t="n">
        <v>5.52</v>
      </c>
      <c r="M84" s="4" t="n">
        <v>3775.68</v>
      </c>
      <c r="N84" s="4" t="n">
        <v>25</v>
      </c>
      <c r="O84" s="4" t="n">
        <v>684.12</v>
      </c>
      <c r="P84" s="4" t="n">
        <v>4484.8</v>
      </c>
    </row>
    <row r="85">
      <c r="A85" s="2" t="inlineStr">
        <is>
          <t>FTR20241084</t>
        </is>
      </c>
      <c r="B85" s="2" t="inlineStr">
        <is>
          <t>06.09.2024</t>
        </is>
      </c>
      <c r="C85" s="2" t="inlineStr">
        <is>
          <t>H34084</t>
        </is>
      </c>
      <c r="D85" s="2" t="inlineStr">
        <is>
          <t>Gülbahar Şimşek</t>
        </is>
      </c>
      <c r="E85" s="2" t="inlineStr">
        <is>
          <t>Antalya</t>
        </is>
      </c>
      <c r="F85" s="2" t="inlineStr">
        <is>
          <t>Merkez</t>
        </is>
      </c>
      <c r="G85" s="2" t="inlineStr">
        <is>
          <t>Elektrik</t>
        </is>
      </c>
      <c r="H85" s="3" t="n">
        <v>16430</v>
      </c>
      <c r="I85" s="3" t="n">
        <v>17129</v>
      </c>
      <c r="J85" s="3" t="n">
        <v>699</v>
      </c>
      <c r="K85" s="2" t="inlineStr">
        <is>
          <t>kWh</t>
        </is>
      </c>
      <c r="L85" s="4" t="n">
        <v>7.89</v>
      </c>
      <c r="M85" s="4" t="n">
        <v>5515.11</v>
      </c>
      <c r="N85" s="4" t="n">
        <v>25</v>
      </c>
      <c r="O85" s="4" t="n">
        <v>997.22</v>
      </c>
      <c r="P85" s="4" t="n">
        <v>6537.33</v>
      </c>
    </row>
    <row r="86">
      <c r="A86" s="2" t="inlineStr">
        <is>
          <t>FTR20241085</t>
        </is>
      </c>
      <c r="B86" s="2" t="inlineStr">
        <is>
          <t>09.09.2024</t>
        </is>
      </c>
      <c r="C86" s="2" t="inlineStr">
        <is>
          <t>H34085</t>
        </is>
      </c>
      <c r="D86" s="2" t="inlineStr">
        <is>
          <t>Zeynep Arslan</t>
        </is>
      </c>
      <c r="E86" s="2" t="inlineStr">
        <is>
          <t>İzmir</t>
        </is>
      </c>
      <c r="F86" s="2" t="inlineStr">
        <is>
          <t>Balçova</t>
        </is>
      </c>
      <c r="G86" s="2" t="inlineStr">
        <is>
          <t>Elektrik</t>
        </is>
      </c>
      <c r="H86" s="3" t="n">
        <v>7730</v>
      </c>
      <c r="I86" s="3" t="n">
        <v>8112</v>
      </c>
      <c r="J86" s="3" t="n">
        <v>382</v>
      </c>
      <c r="K86" s="2" t="inlineStr">
        <is>
          <t>kWh</t>
        </is>
      </c>
      <c r="L86" s="4" t="n">
        <v>5.41</v>
      </c>
      <c r="M86" s="4" t="n">
        <v>2066.62</v>
      </c>
      <c r="N86" s="4" t="n">
        <v>25</v>
      </c>
      <c r="O86" s="4" t="n">
        <v>376.49</v>
      </c>
      <c r="P86" s="4" t="n">
        <v>2468.11</v>
      </c>
    </row>
    <row r="87">
      <c r="A87" s="2" t="inlineStr">
        <is>
          <t>FTR20241086</t>
        </is>
      </c>
      <c r="B87" s="2" t="inlineStr">
        <is>
          <t>12.09.2024</t>
        </is>
      </c>
      <c r="C87" s="2" t="inlineStr">
        <is>
          <t>H34086</t>
        </is>
      </c>
      <c r="D87" s="2" t="inlineStr">
        <is>
          <t>Kadir Doğan</t>
        </is>
      </c>
      <c r="E87" s="2" t="inlineStr">
        <is>
          <t>Bursa</t>
        </is>
      </c>
      <c r="F87" s="2" t="inlineStr">
        <is>
          <t>Merkez</t>
        </is>
      </c>
      <c r="G87" s="2" t="inlineStr">
        <is>
          <t>Doğalgaz</t>
        </is>
      </c>
      <c r="H87" s="3" t="n">
        <v>12362</v>
      </c>
      <c r="I87" s="3" t="n">
        <v>12707</v>
      </c>
      <c r="J87" s="3" t="n">
        <v>345</v>
      </c>
      <c r="K87" s="2" t="inlineStr">
        <is>
          <t>m³</t>
        </is>
      </c>
      <c r="L87" s="4" t="n">
        <v>4.55</v>
      </c>
      <c r="M87" s="4" t="n">
        <v>1569.75</v>
      </c>
      <c r="N87" s="4" t="n">
        <v>12</v>
      </c>
      <c r="O87" s="4" t="n">
        <v>284.71</v>
      </c>
      <c r="P87" s="4" t="n">
        <v>1866.46</v>
      </c>
    </row>
    <row r="88">
      <c r="A88" s="2" t="inlineStr">
        <is>
          <t>FTR20241087</t>
        </is>
      </c>
      <c r="B88" s="2" t="inlineStr">
        <is>
          <t>15.09.2024</t>
        </is>
      </c>
      <c r="C88" s="2" t="inlineStr">
        <is>
          <t>H34087</t>
        </is>
      </c>
      <c r="D88" s="2" t="inlineStr">
        <is>
          <t>Fatma Şahin</t>
        </is>
      </c>
      <c r="E88" s="2" t="inlineStr">
        <is>
          <t>Antalya</t>
        </is>
      </c>
      <c r="F88" s="2" t="inlineStr">
        <is>
          <t>Merkez</t>
        </is>
      </c>
      <c r="G88" s="2" t="inlineStr">
        <is>
          <t>Su</t>
        </is>
      </c>
      <c r="H88" s="3" t="n">
        <v>4815</v>
      </c>
      <c r="I88" s="3" t="n">
        <v>4956</v>
      </c>
      <c r="J88" s="3" t="n">
        <v>141</v>
      </c>
      <c r="K88" s="2" t="inlineStr">
        <is>
          <t>m³</t>
        </is>
      </c>
      <c r="L88" s="4" t="n">
        <v>9.31</v>
      </c>
      <c r="M88" s="4" t="n">
        <v>1312.71</v>
      </c>
      <c r="N88" s="4" t="n">
        <v>15.5</v>
      </c>
      <c r="O88" s="4" t="n">
        <v>239.08</v>
      </c>
      <c r="P88" s="4" t="n">
        <v>1567.29</v>
      </c>
    </row>
    <row r="89">
      <c r="A89" s="2" t="inlineStr">
        <is>
          <t>FTR20241088</t>
        </is>
      </c>
      <c r="B89" s="2" t="inlineStr">
        <is>
          <t>18.09.2024</t>
        </is>
      </c>
      <c r="C89" s="2" t="inlineStr">
        <is>
          <t>H34088</t>
        </is>
      </c>
      <c r="D89" s="2" t="inlineStr">
        <is>
          <t>İbrahim Koçak</t>
        </is>
      </c>
      <c r="E89" s="2" t="inlineStr">
        <is>
          <t>Bursa</t>
        </is>
      </c>
      <c r="F89" s="2" t="inlineStr">
        <is>
          <t>Merkez</t>
        </is>
      </c>
      <c r="G89" s="2" t="inlineStr">
        <is>
          <t>Doğalgaz</t>
        </is>
      </c>
      <c r="H89" s="3" t="n">
        <v>14829</v>
      </c>
      <c r="I89" s="3" t="n">
        <v>15180</v>
      </c>
      <c r="J89" s="3" t="n">
        <v>351</v>
      </c>
      <c r="K89" s="2" t="inlineStr">
        <is>
          <t>m³</t>
        </is>
      </c>
      <c r="L89" s="4" t="n">
        <v>3.99</v>
      </c>
      <c r="M89" s="4" t="n">
        <v>1400.49</v>
      </c>
      <c r="N89" s="4" t="n">
        <v>12</v>
      </c>
      <c r="O89" s="4" t="n">
        <v>254.25</v>
      </c>
      <c r="P89" s="4" t="n">
        <v>1666.74</v>
      </c>
    </row>
    <row r="90">
      <c r="A90" s="2" t="inlineStr">
        <is>
          <t>FTR20241089</t>
        </is>
      </c>
      <c r="B90" s="2" t="inlineStr">
        <is>
          <t>21.09.2024</t>
        </is>
      </c>
      <c r="C90" s="2" t="inlineStr">
        <is>
          <t>H34089</t>
        </is>
      </c>
      <c r="D90" s="2" t="inlineStr">
        <is>
          <t>Nurgül Kılıç</t>
        </is>
      </c>
      <c r="E90" s="2" t="inlineStr">
        <is>
          <t>İstanbul</t>
        </is>
      </c>
      <c r="F90" s="2" t="inlineStr">
        <is>
          <t>Beşiktaş</t>
        </is>
      </c>
      <c r="G90" s="2" t="inlineStr">
        <is>
          <t>Su</t>
        </is>
      </c>
      <c r="H90" s="3" t="n">
        <v>3863</v>
      </c>
      <c r="I90" s="3" t="n">
        <v>3957</v>
      </c>
      <c r="J90" s="3" t="n">
        <v>94</v>
      </c>
      <c r="K90" s="2" t="inlineStr">
        <is>
          <t>m³</t>
        </is>
      </c>
      <c r="L90" s="4" t="n">
        <v>10</v>
      </c>
      <c r="M90" s="4" t="n">
        <v>940</v>
      </c>
      <c r="N90" s="4" t="n">
        <v>15.5</v>
      </c>
      <c r="O90" s="4" t="n">
        <v>171.99</v>
      </c>
      <c r="P90" s="4" t="n">
        <v>1127.49</v>
      </c>
    </row>
    <row r="91">
      <c r="A91" s="2" t="inlineStr">
        <is>
          <t>FTR20241090</t>
        </is>
      </c>
      <c r="B91" s="2" t="inlineStr">
        <is>
          <t>24.09.2024</t>
        </is>
      </c>
      <c r="C91" s="2" t="inlineStr">
        <is>
          <t>H34090</t>
        </is>
      </c>
      <c r="D91" s="2" t="inlineStr">
        <is>
          <t>İbrahim Koçak</t>
        </is>
      </c>
      <c r="E91" s="2" t="inlineStr">
        <is>
          <t>Gaziantep</t>
        </is>
      </c>
      <c r="F91" s="2" t="inlineStr">
        <is>
          <t>Merkez</t>
        </is>
      </c>
      <c r="G91" s="2" t="inlineStr">
        <is>
          <t>Elektrik</t>
        </is>
      </c>
      <c r="H91" s="3" t="n">
        <v>16537</v>
      </c>
      <c r="I91" s="3" t="n">
        <v>17037</v>
      </c>
      <c r="J91" s="3" t="n">
        <v>500</v>
      </c>
      <c r="K91" s="2" t="inlineStr">
        <is>
          <t>kWh</t>
        </is>
      </c>
      <c r="L91" s="4" t="n">
        <v>5.75</v>
      </c>
      <c r="M91" s="4" t="n">
        <v>2875</v>
      </c>
      <c r="N91" s="4" t="n">
        <v>25</v>
      </c>
      <c r="O91" s="4" t="n">
        <v>522</v>
      </c>
      <c r="P91" s="4" t="n">
        <v>3422</v>
      </c>
    </row>
    <row r="92">
      <c r="A92" s="2" t="inlineStr">
        <is>
          <t>FTR20241091</t>
        </is>
      </c>
      <c r="B92" s="2" t="inlineStr">
        <is>
          <t>27.09.2024</t>
        </is>
      </c>
      <c r="C92" s="2" t="inlineStr">
        <is>
          <t>H34091</t>
        </is>
      </c>
      <c r="D92" s="2" t="inlineStr">
        <is>
          <t>Kadir Doğan</t>
        </is>
      </c>
      <c r="E92" s="2" t="inlineStr">
        <is>
          <t>Bursa</t>
        </is>
      </c>
      <c r="F92" s="2" t="inlineStr">
        <is>
          <t>Merkez</t>
        </is>
      </c>
      <c r="G92" s="2" t="inlineStr">
        <is>
          <t>Doğalgaz</t>
        </is>
      </c>
      <c r="H92" s="3" t="n">
        <v>16477</v>
      </c>
      <c r="I92" s="3" t="n">
        <v>16540</v>
      </c>
      <c r="J92" s="3" t="n">
        <v>63</v>
      </c>
      <c r="K92" s="2" t="inlineStr">
        <is>
          <t>m³</t>
        </is>
      </c>
      <c r="L92" s="4" t="n">
        <v>5.28</v>
      </c>
      <c r="M92" s="4" t="n">
        <v>332.64</v>
      </c>
      <c r="N92" s="4" t="n">
        <v>12</v>
      </c>
      <c r="O92" s="4" t="n">
        <v>62.04</v>
      </c>
      <c r="P92" s="4" t="n">
        <v>406.6800000000001</v>
      </c>
    </row>
    <row r="93">
      <c r="A93" s="2" t="inlineStr">
        <is>
          <t>FTR20241092</t>
        </is>
      </c>
      <c r="B93" s="2" t="inlineStr">
        <is>
          <t>30.09.2024</t>
        </is>
      </c>
      <c r="C93" s="2" t="inlineStr">
        <is>
          <t>H34092</t>
        </is>
      </c>
      <c r="D93" s="2" t="inlineStr">
        <is>
          <t>Ayşe Demirel</t>
        </is>
      </c>
      <c r="E93" s="2" t="inlineStr">
        <is>
          <t>Bursa</t>
        </is>
      </c>
      <c r="F93" s="2" t="inlineStr">
        <is>
          <t>Merkez</t>
        </is>
      </c>
      <c r="G93" s="2" t="inlineStr">
        <is>
          <t>Elektrik</t>
        </is>
      </c>
      <c r="H93" s="3" t="n">
        <v>14146</v>
      </c>
      <c r="I93" s="3" t="n">
        <v>14685</v>
      </c>
      <c r="J93" s="3" t="n">
        <v>539</v>
      </c>
      <c r="K93" s="2" t="inlineStr">
        <is>
          <t>kWh</t>
        </is>
      </c>
      <c r="L93" s="4" t="n">
        <v>5.57</v>
      </c>
      <c r="M93" s="4" t="n">
        <v>3002.23</v>
      </c>
      <c r="N93" s="4" t="n">
        <v>25</v>
      </c>
      <c r="O93" s="4" t="n">
        <v>544.9</v>
      </c>
      <c r="P93" s="4" t="n">
        <v>3572.13</v>
      </c>
    </row>
    <row r="94">
      <c r="A94" s="2" t="inlineStr">
        <is>
          <t>FTR20241093</t>
        </is>
      </c>
      <c r="B94" s="2" t="inlineStr">
        <is>
          <t>03.10.2024</t>
        </is>
      </c>
      <c r="C94" s="2" t="inlineStr">
        <is>
          <t>H34093</t>
        </is>
      </c>
      <c r="D94" s="2" t="inlineStr">
        <is>
          <t>İbrahim Koçak</t>
        </is>
      </c>
      <c r="E94" s="2" t="inlineStr">
        <is>
          <t>Bursa</t>
        </is>
      </c>
      <c r="F94" s="2" t="inlineStr">
        <is>
          <t>Merkez</t>
        </is>
      </c>
      <c r="G94" s="2" t="inlineStr">
        <is>
          <t>Doğalgaz</t>
        </is>
      </c>
      <c r="H94" s="3" t="n">
        <v>10347</v>
      </c>
      <c r="I94" s="3" t="n">
        <v>10615</v>
      </c>
      <c r="J94" s="3" t="n">
        <v>268</v>
      </c>
      <c r="K94" s="2" t="inlineStr">
        <is>
          <t>m³</t>
        </is>
      </c>
      <c r="L94" s="4" t="n">
        <v>6.06</v>
      </c>
      <c r="M94" s="4" t="n">
        <v>1624.08</v>
      </c>
      <c r="N94" s="4" t="n">
        <v>12</v>
      </c>
      <c r="O94" s="4" t="n">
        <v>294.49</v>
      </c>
      <c r="P94" s="4" t="n">
        <v>1930.57</v>
      </c>
    </row>
    <row r="95">
      <c r="A95" s="2" t="inlineStr">
        <is>
          <t>FTR20241094</t>
        </is>
      </c>
      <c r="B95" s="2" t="inlineStr">
        <is>
          <t>06.10.2024</t>
        </is>
      </c>
      <c r="C95" s="2" t="inlineStr">
        <is>
          <t>H34094</t>
        </is>
      </c>
      <c r="D95" s="2" t="inlineStr">
        <is>
          <t>Ayşe Demirel</t>
        </is>
      </c>
      <c r="E95" s="2" t="inlineStr">
        <is>
          <t>Bursa</t>
        </is>
      </c>
      <c r="F95" s="2" t="inlineStr">
        <is>
          <t>Merkez</t>
        </is>
      </c>
      <c r="G95" s="2" t="inlineStr">
        <is>
          <t>Doğalgaz</t>
        </is>
      </c>
      <c r="H95" s="3" t="n">
        <v>16271</v>
      </c>
      <c r="I95" s="3" t="n">
        <v>16634</v>
      </c>
      <c r="J95" s="3" t="n">
        <v>363</v>
      </c>
      <c r="K95" s="2" t="inlineStr">
        <is>
          <t>m³</t>
        </is>
      </c>
      <c r="L95" s="4" t="n">
        <v>6.41</v>
      </c>
      <c r="M95" s="4" t="n">
        <v>2326.83</v>
      </c>
      <c r="N95" s="4" t="n">
        <v>12</v>
      </c>
      <c r="O95" s="4" t="n">
        <v>420.99</v>
      </c>
      <c r="P95" s="4" t="n">
        <v>2759.82</v>
      </c>
    </row>
    <row r="96">
      <c r="A96" s="2" t="inlineStr">
        <is>
          <t>FTR20241095</t>
        </is>
      </c>
      <c r="B96" s="2" t="inlineStr">
        <is>
          <t>09.10.2024</t>
        </is>
      </c>
      <c r="C96" s="2" t="inlineStr">
        <is>
          <t>H34095</t>
        </is>
      </c>
      <c r="D96" s="2" t="inlineStr">
        <is>
          <t>Nurgül Kılıç</t>
        </is>
      </c>
      <c r="E96" s="2" t="inlineStr">
        <is>
          <t>Konya</t>
        </is>
      </c>
      <c r="F96" s="2" t="inlineStr">
        <is>
          <t>Merkez</t>
        </is>
      </c>
      <c r="G96" s="2" t="inlineStr">
        <is>
          <t>Doğalgaz</t>
        </is>
      </c>
      <c r="H96" s="3" t="n">
        <v>8459</v>
      </c>
      <c r="I96" s="3" t="n">
        <v>8655</v>
      </c>
      <c r="J96" s="3" t="n">
        <v>196</v>
      </c>
      <c r="K96" s="2" t="inlineStr">
        <is>
          <t>m³</t>
        </is>
      </c>
      <c r="L96" s="4" t="n">
        <v>4.82</v>
      </c>
      <c r="M96" s="4" t="n">
        <v>944.72</v>
      </c>
      <c r="N96" s="4" t="n">
        <v>12</v>
      </c>
      <c r="O96" s="4" t="n">
        <v>172.21</v>
      </c>
      <c r="P96" s="4" t="n">
        <v>1128.93</v>
      </c>
    </row>
    <row r="97">
      <c r="A97" s="2" t="inlineStr">
        <is>
          <t>FTR20241096</t>
        </is>
      </c>
      <c r="B97" s="2" t="inlineStr">
        <is>
          <t>12.10.2024</t>
        </is>
      </c>
      <c r="C97" s="2" t="inlineStr">
        <is>
          <t>H34096</t>
        </is>
      </c>
      <c r="D97" s="2" t="inlineStr">
        <is>
          <t>Ahmet Yılmaz</t>
        </is>
      </c>
      <c r="E97" s="2" t="inlineStr">
        <is>
          <t>Adana</t>
        </is>
      </c>
      <c r="F97" s="2" t="inlineStr">
        <is>
          <t>Merkez</t>
        </is>
      </c>
      <c r="G97" s="2" t="inlineStr">
        <is>
          <t>Elektrik</t>
        </is>
      </c>
      <c r="H97" s="3" t="n">
        <v>15678</v>
      </c>
      <c r="I97" s="3" t="n">
        <v>16248</v>
      </c>
      <c r="J97" s="3" t="n">
        <v>570</v>
      </c>
      <c r="K97" s="2" t="inlineStr">
        <is>
          <t>kWh</t>
        </is>
      </c>
      <c r="L97" s="4" t="n">
        <v>7.1</v>
      </c>
      <c r="M97" s="4" t="n">
        <v>4047</v>
      </c>
      <c r="N97" s="4" t="n">
        <v>25</v>
      </c>
      <c r="O97" s="4" t="n">
        <v>732.96</v>
      </c>
      <c r="P97" s="4" t="n">
        <v>4804.96</v>
      </c>
    </row>
    <row r="98">
      <c r="A98" s="2" t="inlineStr">
        <is>
          <t>FTR20241097</t>
        </is>
      </c>
      <c r="B98" s="2" t="inlineStr">
        <is>
          <t>15.10.2024</t>
        </is>
      </c>
      <c r="C98" s="2" t="inlineStr">
        <is>
          <t>H34097</t>
        </is>
      </c>
      <c r="D98" s="2" t="inlineStr">
        <is>
          <t>Hasan Özdemir</t>
        </is>
      </c>
      <c r="E98" s="2" t="inlineStr">
        <is>
          <t>Ankara</t>
        </is>
      </c>
      <c r="F98" s="2" t="inlineStr">
        <is>
          <t>Çankaya</t>
        </is>
      </c>
      <c r="G98" s="2" t="inlineStr">
        <is>
          <t>Elektrik</t>
        </is>
      </c>
      <c r="H98" s="3" t="n">
        <v>32413</v>
      </c>
      <c r="I98" s="3" t="n">
        <v>33042</v>
      </c>
      <c r="J98" s="3" t="n">
        <v>629</v>
      </c>
      <c r="K98" s="2" t="inlineStr">
        <is>
          <t>kWh</t>
        </is>
      </c>
      <c r="L98" s="4" t="n">
        <v>8.35</v>
      </c>
      <c r="M98" s="4" t="n">
        <v>5252.15</v>
      </c>
      <c r="N98" s="4" t="n">
        <v>25</v>
      </c>
      <c r="O98" s="4" t="n">
        <v>949.89</v>
      </c>
      <c r="P98" s="4" t="n">
        <v>6227.04</v>
      </c>
    </row>
    <row r="99">
      <c r="A99" s="2" t="inlineStr">
        <is>
          <t>FTR20241098</t>
        </is>
      </c>
      <c r="B99" s="2" t="inlineStr">
        <is>
          <t>18.10.2024</t>
        </is>
      </c>
      <c r="C99" s="2" t="inlineStr">
        <is>
          <t>H34098</t>
        </is>
      </c>
      <c r="D99" s="2" t="inlineStr">
        <is>
          <t>Fatma Şahin</t>
        </is>
      </c>
      <c r="E99" s="2" t="inlineStr">
        <is>
          <t>İzmir</t>
        </is>
      </c>
      <c r="F99" s="2" t="inlineStr">
        <is>
          <t>Alsancak</t>
        </is>
      </c>
      <c r="G99" s="2" t="inlineStr">
        <is>
          <t>Su</t>
        </is>
      </c>
      <c r="H99" s="3" t="n">
        <v>684</v>
      </c>
      <c r="I99" s="3" t="n">
        <v>732</v>
      </c>
      <c r="J99" s="3" t="n">
        <v>48</v>
      </c>
      <c r="K99" s="2" t="inlineStr">
        <is>
          <t>m³</t>
        </is>
      </c>
      <c r="L99" s="4" t="n">
        <v>9.41</v>
      </c>
      <c r="M99" s="4" t="n">
        <v>451.68</v>
      </c>
      <c r="N99" s="4" t="n">
        <v>15.5</v>
      </c>
      <c r="O99" s="4" t="n">
        <v>84.09</v>
      </c>
      <c r="P99" s="4" t="n">
        <v>551.27</v>
      </c>
    </row>
    <row r="100">
      <c r="A100" s="2" t="inlineStr">
        <is>
          <t>FTR20241099</t>
        </is>
      </c>
      <c r="B100" s="2" t="inlineStr">
        <is>
          <t>21.10.2024</t>
        </is>
      </c>
      <c r="C100" s="2" t="inlineStr">
        <is>
          <t>H34099</t>
        </is>
      </c>
      <c r="D100" s="2" t="inlineStr">
        <is>
          <t>Hasan Özdemir</t>
        </is>
      </c>
      <c r="E100" s="2" t="inlineStr">
        <is>
          <t>İzmir</t>
        </is>
      </c>
      <c r="F100" s="2" t="inlineStr">
        <is>
          <t>Konak</t>
        </is>
      </c>
      <c r="G100" s="2" t="inlineStr">
        <is>
          <t>Doğalgaz</t>
        </is>
      </c>
      <c r="H100" s="3" t="n">
        <v>1634</v>
      </c>
      <c r="I100" s="3" t="n">
        <v>1715</v>
      </c>
      <c r="J100" s="3" t="n">
        <v>81</v>
      </c>
      <c r="K100" s="2" t="inlineStr">
        <is>
          <t>m³</t>
        </is>
      </c>
      <c r="L100" s="4" t="n">
        <v>6.29</v>
      </c>
      <c r="M100" s="4" t="n">
        <v>509.49</v>
      </c>
      <c r="N100" s="4" t="n">
        <v>12</v>
      </c>
      <c r="O100" s="4" t="n">
        <v>93.87</v>
      </c>
      <c r="P100" s="4" t="n">
        <v>615.36</v>
      </c>
    </row>
    <row r="101">
      <c r="A101" s="2" t="inlineStr">
        <is>
          <t>FTR20241100</t>
        </is>
      </c>
      <c r="B101" s="2" t="inlineStr">
        <is>
          <t>24.10.2024</t>
        </is>
      </c>
      <c r="C101" s="2" t="inlineStr">
        <is>
          <t>H34100</t>
        </is>
      </c>
      <c r="D101" s="2" t="inlineStr">
        <is>
          <t>Zeynep Arslan</t>
        </is>
      </c>
      <c r="E101" s="2" t="inlineStr">
        <is>
          <t>Antalya</t>
        </is>
      </c>
      <c r="F101" s="2" t="inlineStr">
        <is>
          <t>Merkez</t>
        </is>
      </c>
      <c r="G101" s="2" t="inlineStr">
        <is>
          <t>Su</t>
        </is>
      </c>
      <c r="H101" s="3" t="n">
        <v>583</v>
      </c>
      <c r="I101" s="3" t="n">
        <v>608</v>
      </c>
      <c r="J101" s="3" t="n">
        <v>25</v>
      </c>
      <c r="K101" s="2" t="inlineStr">
        <is>
          <t>m³</t>
        </is>
      </c>
      <c r="L101" s="4" t="n">
        <v>11.4</v>
      </c>
      <c r="M101" s="4" t="n">
        <v>285</v>
      </c>
      <c r="N101" s="4" t="n">
        <v>15.5</v>
      </c>
      <c r="O101" s="4" t="n">
        <v>54.09</v>
      </c>
      <c r="P101" s="4" t="n">
        <v>354.59</v>
      </c>
    </row>
    <row r="102">
      <c r="A102" s="2" t="inlineStr">
        <is>
          <t>FTR20241101</t>
        </is>
      </c>
      <c r="B102" s="2" t="inlineStr">
        <is>
          <t>27.10.2024</t>
        </is>
      </c>
      <c r="C102" s="2" t="inlineStr">
        <is>
          <t>H34101</t>
        </is>
      </c>
      <c r="D102" s="2" t="inlineStr">
        <is>
          <t>Nurgül Kılıç</t>
        </is>
      </c>
      <c r="E102" s="2" t="inlineStr">
        <is>
          <t>Antalya</t>
        </is>
      </c>
      <c r="F102" s="2" t="inlineStr">
        <is>
          <t>Merkez</t>
        </is>
      </c>
      <c r="G102" s="2" t="inlineStr">
        <is>
          <t>Doğalgaz</t>
        </is>
      </c>
      <c r="H102" s="3" t="n">
        <v>6854</v>
      </c>
      <c r="I102" s="3" t="n">
        <v>7010</v>
      </c>
      <c r="J102" s="3" t="n">
        <v>156</v>
      </c>
      <c r="K102" s="2" t="inlineStr">
        <is>
          <t>m³</t>
        </is>
      </c>
      <c r="L102" s="4" t="n">
        <v>4.79</v>
      </c>
      <c r="M102" s="4" t="n">
        <v>747.24</v>
      </c>
      <c r="N102" s="4" t="n">
        <v>12</v>
      </c>
      <c r="O102" s="4" t="n">
        <v>136.66</v>
      </c>
      <c r="P102" s="4" t="n">
        <v>895.9</v>
      </c>
    </row>
    <row r="103">
      <c r="A103" s="2" t="inlineStr">
        <is>
          <t>FTR20241102</t>
        </is>
      </c>
      <c r="B103" s="2" t="inlineStr">
        <is>
          <t>30.10.2024</t>
        </is>
      </c>
      <c r="C103" s="2" t="inlineStr">
        <is>
          <t>H34102</t>
        </is>
      </c>
      <c r="D103" s="2" t="inlineStr">
        <is>
          <t>Gülbahar Şimşek</t>
        </is>
      </c>
      <c r="E103" s="2" t="inlineStr">
        <is>
          <t>Antalya</t>
        </is>
      </c>
      <c r="F103" s="2" t="inlineStr">
        <is>
          <t>Merkez</t>
        </is>
      </c>
      <c r="G103" s="2" t="inlineStr">
        <is>
          <t>Doğalgaz</t>
        </is>
      </c>
      <c r="H103" s="3" t="n">
        <v>9629</v>
      </c>
      <c r="I103" s="3" t="n">
        <v>9869</v>
      </c>
      <c r="J103" s="3" t="n">
        <v>240</v>
      </c>
      <c r="K103" s="2" t="inlineStr">
        <is>
          <t>m³</t>
        </is>
      </c>
      <c r="L103" s="4" t="n">
        <v>3.68</v>
      </c>
      <c r="M103" s="4" t="n">
        <v>883.2</v>
      </c>
      <c r="N103" s="4" t="n">
        <v>12</v>
      </c>
      <c r="O103" s="4" t="n">
        <v>161.14</v>
      </c>
      <c r="P103" s="4" t="n">
        <v>1056.34</v>
      </c>
    </row>
    <row r="104">
      <c r="A104" s="2" t="inlineStr">
        <is>
          <t>FTR20241103</t>
        </is>
      </c>
      <c r="B104" s="2" t="inlineStr">
        <is>
          <t>02.11.2024</t>
        </is>
      </c>
      <c r="C104" s="2" t="inlineStr">
        <is>
          <t>H34103</t>
        </is>
      </c>
      <c r="D104" s="2" t="inlineStr">
        <is>
          <t>Gülbahar Şimşek</t>
        </is>
      </c>
      <c r="E104" s="2" t="inlineStr">
        <is>
          <t>Antalya</t>
        </is>
      </c>
      <c r="F104" s="2" t="inlineStr">
        <is>
          <t>Merkez</t>
        </is>
      </c>
      <c r="G104" s="2" t="inlineStr">
        <is>
          <t>Doğalgaz</t>
        </is>
      </c>
      <c r="H104" s="3" t="n">
        <v>7224</v>
      </c>
      <c r="I104" s="3" t="n">
        <v>7383</v>
      </c>
      <c r="J104" s="3" t="n">
        <v>159</v>
      </c>
      <c r="K104" s="2" t="inlineStr">
        <is>
          <t>m³</t>
        </is>
      </c>
      <c r="L104" s="4" t="n">
        <v>4.45</v>
      </c>
      <c r="M104" s="4" t="n">
        <v>707.5500000000001</v>
      </c>
      <c r="N104" s="4" t="n">
        <v>12</v>
      </c>
      <c r="O104" s="4" t="n">
        <v>129.52</v>
      </c>
      <c r="P104" s="4" t="n">
        <v>849.0700000000001</v>
      </c>
    </row>
    <row r="105">
      <c r="A105" s="2" t="inlineStr">
        <is>
          <t>FTR20241104</t>
        </is>
      </c>
      <c r="B105" s="2" t="inlineStr">
        <is>
          <t>05.11.2024</t>
        </is>
      </c>
      <c r="C105" s="2" t="inlineStr">
        <is>
          <t>H34104</t>
        </is>
      </c>
      <c r="D105" s="2" t="inlineStr">
        <is>
          <t>Kadir Doğan</t>
        </is>
      </c>
      <c r="E105" s="2" t="inlineStr">
        <is>
          <t>Adana</t>
        </is>
      </c>
      <c r="F105" s="2" t="inlineStr">
        <is>
          <t>Merkez</t>
        </is>
      </c>
      <c r="G105" s="2" t="inlineStr">
        <is>
          <t>Su</t>
        </is>
      </c>
      <c r="H105" s="3" t="n">
        <v>3547</v>
      </c>
      <c r="I105" s="3" t="n">
        <v>3689</v>
      </c>
      <c r="J105" s="3" t="n">
        <v>142</v>
      </c>
      <c r="K105" s="2" t="inlineStr">
        <is>
          <t>m³</t>
        </is>
      </c>
      <c r="L105" s="4" t="n">
        <v>10.23</v>
      </c>
      <c r="M105" s="4" t="n">
        <v>1452.66</v>
      </c>
      <c r="N105" s="4" t="n">
        <v>15.5</v>
      </c>
      <c r="O105" s="4" t="n">
        <v>264.27</v>
      </c>
      <c r="P105" s="4" t="n">
        <v>1732.43</v>
      </c>
    </row>
    <row r="106">
      <c r="A106" s="2" t="inlineStr">
        <is>
          <t>FTR20241105</t>
        </is>
      </c>
      <c r="B106" s="2" t="inlineStr">
        <is>
          <t>08.11.2024</t>
        </is>
      </c>
      <c r="C106" s="2" t="inlineStr">
        <is>
          <t>H34105</t>
        </is>
      </c>
      <c r="D106" s="2" t="inlineStr">
        <is>
          <t>Mehmet Kaya</t>
        </is>
      </c>
      <c r="E106" s="2" t="inlineStr">
        <is>
          <t>Konya</t>
        </is>
      </c>
      <c r="F106" s="2" t="inlineStr">
        <is>
          <t>Merkez</t>
        </is>
      </c>
      <c r="G106" s="2" t="inlineStr">
        <is>
          <t>Elektrik</t>
        </is>
      </c>
      <c r="H106" s="3" t="n">
        <v>33730</v>
      </c>
      <c r="I106" s="3" t="n">
        <v>34079</v>
      </c>
      <c r="J106" s="3" t="n">
        <v>349</v>
      </c>
      <c r="K106" s="2" t="inlineStr">
        <is>
          <t>kWh</t>
        </is>
      </c>
      <c r="L106" s="4" t="n">
        <v>7.92</v>
      </c>
      <c r="M106" s="4" t="n">
        <v>2764.08</v>
      </c>
      <c r="N106" s="4" t="n">
        <v>25</v>
      </c>
      <c r="O106" s="4" t="n">
        <v>502.03</v>
      </c>
      <c r="P106" s="4" t="n">
        <v>3291.11</v>
      </c>
    </row>
    <row r="107">
      <c r="A107" s="2" t="inlineStr">
        <is>
          <t>FTR20241106</t>
        </is>
      </c>
      <c r="B107" s="2" t="inlineStr">
        <is>
          <t>11.11.2024</t>
        </is>
      </c>
      <c r="C107" s="2" t="inlineStr">
        <is>
          <t>H34106</t>
        </is>
      </c>
      <c r="D107" s="2" t="inlineStr">
        <is>
          <t>Mehmet Kaya</t>
        </is>
      </c>
      <c r="E107" s="2" t="inlineStr">
        <is>
          <t>Adana</t>
        </is>
      </c>
      <c r="F107" s="2" t="inlineStr">
        <is>
          <t>Merkez</t>
        </is>
      </c>
      <c r="G107" s="2" t="inlineStr">
        <is>
          <t>Doğalgaz</t>
        </is>
      </c>
      <c r="H107" s="3" t="n">
        <v>15432</v>
      </c>
      <c r="I107" s="3" t="n">
        <v>15669</v>
      </c>
      <c r="J107" s="3" t="n">
        <v>237</v>
      </c>
      <c r="K107" s="2" t="inlineStr">
        <is>
          <t>m³</t>
        </is>
      </c>
      <c r="L107" s="4" t="n">
        <v>6.61</v>
      </c>
      <c r="M107" s="4" t="n">
        <v>1566.57</v>
      </c>
      <c r="N107" s="4" t="n">
        <v>12</v>
      </c>
      <c r="O107" s="4" t="n">
        <v>284.14</v>
      </c>
      <c r="P107" s="4" t="n">
        <v>1862.71</v>
      </c>
    </row>
    <row r="108">
      <c r="A108" s="2" t="inlineStr">
        <is>
          <t>FTR20241107</t>
        </is>
      </c>
      <c r="B108" s="2" t="inlineStr">
        <is>
          <t>14.11.2024</t>
        </is>
      </c>
      <c r="C108" s="2" t="inlineStr">
        <is>
          <t>H34107</t>
        </is>
      </c>
      <c r="D108" s="2" t="inlineStr">
        <is>
          <t>Ayşe Demirel</t>
        </is>
      </c>
      <c r="E108" s="2" t="inlineStr">
        <is>
          <t>Bursa</t>
        </is>
      </c>
      <c r="F108" s="2" t="inlineStr">
        <is>
          <t>Merkez</t>
        </is>
      </c>
      <c r="G108" s="2" t="inlineStr">
        <is>
          <t>Su</t>
        </is>
      </c>
      <c r="H108" s="3" t="n">
        <v>4004</v>
      </c>
      <c r="I108" s="3" t="n">
        <v>4079</v>
      </c>
      <c r="J108" s="3" t="n">
        <v>75</v>
      </c>
      <c r="K108" s="2" t="inlineStr">
        <is>
          <t>m³</t>
        </is>
      </c>
      <c r="L108" s="4" t="n">
        <v>11.04</v>
      </c>
      <c r="M108" s="4" t="n">
        <v>827.9999999999999</v>
      </c>
      <c r="N108" s="4" t="n">
        <v>15.5</v>
      </c>
      <c r="O108" s="4" t="n">
        <v>151.83</v>
      </c>
      <c r="P108" s="4" t="n">
        <v>995.3299999999999</v>
      </c>
    </row>
    <row r="109">
      <c r="A109" s="2" t="inlineStr">
        <is>
          <t>FTR20241108</t>
        </is>
      </c>
      <c r="B109" s="2" t="inlineStr">
        <is>
          <t>17.11.2024</t>
        </is>
      </c>
      <c r="C109" s="2" t="inlineStr">
        <is>
          <t>H34108</t>
        </is>
      </c>
      <c r="D109" s="2" t="inlineStr">
        <is>
          <t>Kadir Doğan</t>
        </is>
      </c>
      <c r="E109" s="2" t="inlineStr">
        <is>
          <t>Adana</t>
        </is>
      </c>
      <c r="F109" s="2" t="inlineStr">
        <is>
          <t>Merkez</t>
        </is>
      </c>
      <c r="G109" s="2" t="inlineStr">
        <is>
          <t>Elektrik</t>
        </is>
      </c>
      <c r="H109" s="3" t="n">
        <v>16965</v>
      </c>
      <c r="I109" s="3" t="n">
        <v>17488</v>
      </c>
      <c r="J109" s="3" t="n">
        <v>523</v>
      </c>
      <c r="K109" s="2" t="inlineStr">
        <is>
          <t>kWh</t>
        </is>
      </c>
      <c r="L109" s="4" t="n">
        <v>7.46</v>
      </c>
      <c r="M109" s="4" t="n">
        <v>3901.58</v>
      </c>
      <c r="N109" s="4" t="n">
        <v>25</v>
      </c>
      <c r="O109" s="4" t="n">
        <v>706.78</v>
      </c>
      <c r="P109" s="4" t="n">
        <v>4633.36</v>
      </c>
    </row>
    <row r="110">
      <c r="A110" s="2" t="inlineStr">
        <is>
          <t>FTR20241109</t>
        </is>
      </c>
      <c r="B110" s="2" t="inlineStr">
        <is>
          <t>20.11.2024</t>
        </is>
      </c>
      <c r="C110" s="2" t="inlineStr">
        <is>
          <t>H34109</t>
        </is>
      </c>
      <c r="D110" s="2" t="inlineStr">
        <is>
          <t>Ahmet Yılmaz</t>
        </is>
      </c>
      <c r="E110" s="2" t="inlineStr">
        <is>
          <t>İstanbul</t>
        </is>
      </c>
      <c r="F110" s="2" t="inlineStr">
        <is>
          <t>Fatih</t>
        </is>
      </c>
      <c r="G110" s="2" t="inlineStr">
        <is>
          <t>Elektrik</t>
        </is>
      </c>
      <c r="H110" s="3" t="n">
        <v>5385</v>
      </c>
      <c r="I110" s="3" t="n">
        <v>5594</v>
      </c>
      <c r="J110" s="3" t="n">
        <v>209</v>
      </c>
      <c r="K110" s="2" t="inlineStr">
        <is>
          <t>kWh</t>
        </is>
      </c>
      <c r="L110" s="4" t="n">
        <v>5.11</v>
      </c>
      <c r="M110" s="4" t="n">
        <v>1067.99</v>
      </c>
      <c r="N110" s="4" t="n">
        <v>25</v>
      </c>
      <c r="O110" s="4" t="n">
        <v>196.74</v>
      </c>
      <c r="P110" s="4" t="n">
        <v>1289.73</v>
      </c>
    </row>
    <row r="111">
      <c r="A111" s="2" t="inlineStr">
        <is>
          <t>FTR20241110</t>
        </is>
      </c>
      <c r="B111" s="2" t="inlineStr">
        <is>
          <t>23.11.2024</t>
        </is>
      </c>
      <c r="C111" s="2" t="inlineStr">
        <is>
          <t>H34110</t>
        </is>
      </c>
      <c r="D111" s="2" t="inlineStr">
        <is>
          <t>Mehmet Kaya</t>
        </is>
      </c>
      <c r="E111" s="2" t="inlineStr">
        <is>
          <t>Ankara</t>
        </is>
      </c>
      <c r="F111" s="2" t="inlineStr">
        <is>
          <t>Mamak</t>
        </is>
      </c>
      <c r="G111" s="2" t="inlineStr">
        <is>
          <t>Doğalgaz</t>
        </is>
      </c>
      <c r="H111" s="3" t="n">
        <v>19950</v>
      </c>
      <c r="I111" s="3" t="n">
        <v>20125</v>
      </c>
      <c r="J111" s="3" t="n">
        <v>175</v>
      </c>
      <c r="K111" s="2" t="inlineStr">
        <is>
          <t>m³</t>
        </is>
      </c>
      <c r="L111" s="4" t="n">
        <v>3.63</v>
      </c>
      <c r="M111" s="4" t="n">
        <v>635.25</v>
      </c>
      <c r="N111" s="4" t="n">
        <v>12</v>
      </c>
      <c r="O111" s="4" t="n">
        <v>116.5</v>
      </c>
      <c r="P111" s="4" t="n">
        <v>763.75</v>
      </c>
    </row>
    <row r="112">
      <c r="A112" s="2" t="inlineStr">
        <is>
          <t>FTR20241111</t>
        </is>
      </c>
      <c r="B112" s="2" t="inlineStr">
        <is>
          <t>26.11.2024</t>
        </is>
      </c>
      <c r="C112" s="2" t="inlineStr">
        <is>
          <t>H34111</t>
        </is>
      </c>
      <c r="D112" s="2" t="inlineStr">
        <is>
          <t>Nurgül Kılıç</t>
        </is>
      </c>
      <c r="E112" s="2" t="inlineStr">
        <is>
          <t>Konya</t>
        </is>
      </c>
      <c r="F112" s="2" t="inlineStr">
        <is>
          <t>Merkez</t>
        </is>
      </c>
      <c r="G112" s="2" t="inlineStr">
        <is>
          <t>Doğalgaz</t>
        </is>
      </c>
      <c r="H112" s="3" t="n">
        <v>1250</v>
      </c>
      <c r="I112" s="3" t="n">
        <v>1396</v>
      </c>
      <c r="J112" s="3" t="n">
        <v>146</v>
      </c>
      <c r="K112" s="2" t="inlineStr">
        <is>
          <t>m³</t>
        </is>
      </c>
      <c r="L112" s="4" t="n">
        <v>4.79</v>
      </c>
      <c r="M112" s="4" t="n">
        <v>699.34</v>
      </c>
      <c r="N112" s="4" t="n">
        <v>12</v>
      </c>
      <c r="O112" s="4" t="n">
        <v>128.04</v>
      </c>
      <c r="P112" s="4" t="n">
        <v>839.38</v>
      </c>
    </row>
    <row r="113">
      <c r="A113" s="2" t="inlineStr">
        <is>
          <t>FTR20241112</t>
        </is>
      </c>
      <c r="B113" s="2" t="inlineStr">
        <is>
          <t>29.11.2024</t>
        </is>
      </c>
      <c r="C113" s="2" t="inlineStr">
        <is>
          <t>H34112</t>
        </is>
      </c>
      <c r="D113" s="2" t="inlineStr">
        <is>
          <t>Kadir Doğan</t>
        </is>
      </c>
      <c r="E113" s="2" t="inlineStr">
        <is>
          <t>Gaziantep</t>
        </is>
      </c>
      <c r="F113" s="2" t="inlineStr">
        <is>
          <t>Merkez</t>
        </is>
      </c>
      <c r="G113" s="2" t="inlineStr">
        <is>
          <t>Elektrik</t>
        </is>
      </c>
      <c r="H113" s="3" t="n">
        <v>39873</v>
      </c>
      <c r="I113" s="3" t="n">
        <v>40524</v>
      </c>
      <c r="J113" s="3" t="n">
        <v>651</v>
      </c>
      <c r="K113" s="2" t="inlineStr">
        <is>
          <t>kWh</t>
        </is>
      </c>
      <c r="L113" s="4" t="n">
        <v>5.63</v>
      </c>
      <c r="M113" s="4" t="n">
        <v>3665.13</v>
      </c>
      <c r="N113" s="4" t="n">
        <v>25</v>
      </c>
      <c r="O113" s="4" t="n">
        <v>664.22</v>
      </c>
      <c r="P113" s="4" t="n">
        <v>4354.35</v>
      </c>
    </row>
    <row r="114">
      <c r="A114" s="2" t="inlineStr">
        <is>
          <t>FTR20241113</t>
        </is>
      </c>
      <c r="B114" s="2" t="inlineStr">
        <is>
          <t>02.12.2024</t>
        </is>
      </c>
      <c r="C114" s="2" t="inlineStr">
        <is>
          <t>H34113</t>
        </is>
      </c>
      <c r="D114" s="2" t="inlineStr">
        <is>
          <t>Hasan Özdemir</t>
        </is>
      </c>
      <c r="E114" s="2" t="inlineStr">
        <is>
          <t>Adana</t>
        </is>
      </c>
      <c r="F114" s="2" t="inlineStr">
        <is>
          <t>Merkez</t>
        </is>
      </c>
      <c r="G114" s="2" t="inlineStr">
        <is>
          <t>Doğalgaz</t>
        </is>
      </c>
      <c r="H114" s="3" t="n">
        <v>12106</v>
      </c>
      <c r="I114" s="3" t="n">
        <v>12422</v>
      </c>
      <c r="J114" s="3" t="n">
        <v>316</v>
      </c>
      <c r="K114" s="2" t="inlineStr">
        <is>
          <t>m³</t>
        </is>
      </c>
      <c r="L114" s="4" t="n">
        <v>5.42</v>
      </c>
      <c r="M114" s="4" t="n">
        <v>1712.72</v>
      </c>
      <c r="N114" s="4" t="n">
        <v>12</v>
      </c>
      <c r="O114" s="4" t="n">
        <v>310.45</v>
      </c>
      <c r="P114" s="4" t="n">
        <v>2035.17</v>
      </c>
    </row>
    <row r="115">
      <c r="A115" s="2" t="inlineStr">
        <is>
          <t>FTR20241114</t>
        </is>
      </c>
      <c r="B115" s="2" t="inlineStr">
        <is>
          <t>05.12.2024</t>
        </is>
      </c>
      <c r="C115" s="2" t="inlineStr">
        <is>
          <t>H34114</t>
        </is>
      </c>
      <c r="D115" s="2" t="inlineStr">
        <is>
          <t>Kadir Doğan</t>
        </is>
      </c>
      <c r="E115" s="2" t="inlineStr">
        <is>
          <t>İstanbul</t>
        </is>
      </c>
      <c r="F115" s="2" t="inlineStr">
        <is>
          <t>Ümraniye</t>
        </is>
      </c>
      <c r="G115" s="2" t="inlineStr">
        <is>
          <t>Su</t>
        </is>
      </c>
      <c r="H115" s="3" t="n">
        <v>2692</v>
      </c>
      <c r="I115" s="3" t="n">
        <v>2788</v>
      </c>
      <c r="J115" s="3" t="n">
        <v>96</v>
      </c>
      <c r="K115" s="2" t="inlineStr">
        <is>
          <t>m³</t>
        </is>
      </c>
      <c r="L115" s="4" t="n">
        <v>8.970000000000001</v>
      </c>
      <c r="M115" s="4" t="n">
        <v>861.1200000000001</v>
      </c>
      <c r="N115" s="4" t="n">
        <v>15.5</v>
      </c>
      <c r="O115" s="4" t="n">
        <v>157.79</v>
      </c>
      <c r="P115" s="4" t="n">
        <v>1034.41</v>
      </c>
    </row>
    <row r="116">
      <c r="A116" s="2" t="inlineStr">
        <is>
          <t>FTR20241115</t>
        </is>
      </c>
      <c r="B116" s="2" t="inlineStr">
        <is>
          <t>08.12.2024</t>
        </is>
      </c>
      <c r="C116" s="2" t="inlineStr">
        <is>
          <t>H34115</t>
        </is>
      </c>
      <c r="D116" s="2" t="inlineStr">
        <is>
          <t>Fatma Şahin</t>
        </is>
      </c>
      <c r="E116" s="2" t="inlineStr">
        <is>
          <t>Antalya</t>
        </is>
      </c>
      <c r="F116" s="2" t="inlineStr">
        <is>
          <t>Merkez</t>
        </is>
      </c>
      <c r="G116" s="2" t="inlineStr">
        <is>
          <t>Su</t>
        </is>
      </c>
      <c r="H116" s="3" t="n">
        <v>3622</v>
      </c>
      <c r="I116" s="3" t="n">
        <v>3704</v>
      </c>
      <c r="J116" s="3" t="n">
        <v>82</v>
      </c>
      <c r="K116" s="2" t="inlineStr">
        <is>
          <t>m³</t>
        </is>
      </c>
      <c r="L116" s="4" t="n">
        <v>10.89</v>
      </c>
      <c r="M116" s="4" t="n">
        <v>892.98</v>
      </c>
      <c r="N116" s="4" t="n">
        <v>15.5</v>
      </c>
      <c r="O116" s="4" t="n">
        <v>163.53</v>
      </c>
      <c r="P116" s="4" t="n">
        <v>1072.01</v>
      </c>
    </row>
    <row r="117">
      <c r="A117" s="2" t="inlineStr">
        <is>
          <t>FTR20241116</t>
        </is>
      </c>
      <c r="B117" s="2" t="inlineStr">
        <is>
          <t>11.12.2024</t>
        </is>
      </c>
      <c r="C117" s="2" t="inlineStr">
        <is>
          <t>H34116</t>
        </is>
      </c>
      <c r="D117" s="2" t="inlineStr">
        <is>
          <t>Nurgül Kılıç</t>
        </is>
      </c>
      <c r="E117" s="2" t="inlineStr">
        <is>
          <t>Ankara</t>
        </is>
      </c>
      <c r="F117" s="2" t="inlineStr">
        <is>
          <t>Yenimahalle</t>
        </is>
      </c>
      <c r="G117" s="2" t="inlineStr">
        <is>
          <t>Su</t>
        </is>
      </c>
      <c r="H117" s="3" t="n">
        <v>3879</v>
      </c>
      <c r="I117" s="3" t="n">
        <v>3981</v>
      </c>
      <c r="J117" s="3" t="n">
        <v>102</v>
      </c>
      <c r="K117" s="2" t="inlineStr">
        <is>
          <t>m³</t>
        </is>
      </c>
      <c r="L117" s="4" t="n">
        <v>9.43</v>
      </c>
      <c r="M117" s="4" t="n">
        <v>961.86</v>
      </c>
      <c r="N117" s="4" t="n">
        <v>15.5</v>
      </c>
      <c r="O117" s="4" t="n">
        <v>175.92</v>
      </c>
      <c r="P117" s="4" t="n">
        <v>1153.28</v>
      </c>
    </row>
    <row r="118">
      <c r="A118" s="2" t="inlineStr">
        <is>
          <t>FTR20241117</t>
        </is>
      </c>
      <c r="B118" s="2" t="inlineStr">
        <is>
          <t>14.12.2024</t>
        </is>
      </c>
      <c r="C118" s="2" t="inlineStr">
        <is>
          <t>H34117</t>
        </is>
      </c>
      <c r="D118" s="2" t="inlineStr">
        <is>
          <t>Mehmet Kaya</t>
        </is>
      </c>
      <c r="E118" s="2" t="inlineStr">
        <is>
          <t>Konya</t>
        </is>
      </c>
      <c r="F118" s="2" t="inlineStr">
        <is>
          <t>Merkez</t>
        </is>
      </c>
      <c r="G118" s="2" t="inlineStr">
        <is>
          <t>Su</t>
        </is>
      </c>
      <c r="H118" s="3" t="n">
        <v>1570</v>
      </c>
      <c r="I118" s="3" t="n">
        <v>1719</v>
      </c>
      <c r="J118" s="3" t="n">
        <v>149</v>
      </c>
      <c r="K118" s="2" t="inlineStr">
        <is>
          <t>m³</t>
        </is>
      </c>
      <c r="L118" s="4" t="n">
        <v>12.46</v>
      </c>
      <c r="M118" s="4" t="n">
        <v>1856.54</v>
      </c>
      <c r="N118" s="4" t="n">
        <v>15.5</v>
      </c>
      <c r="O118" s="4" t="n">
        <v>336.97</v>
      </c>
      <c r="P118" s="4" t="n">
        <v>2209.01</v>
      </c>
    </row>
    <row r="119">
      <c r="A119" s="2" t="inlineStr">
        <is>
          <t>FTR20241118</t>
        </is>
      </c>
      <c r="B119" s="2" t="inlineStr">
        <is>
          <t>17.12.2024</t>
        </is>
      </c>
      <c r="C119" s="2" t="inlineStr">
        <is>
          <t>H34118</t>
        </is>
      </c>
      <c r="D119" s="2" t="inlineStr">
        <is>
          <t>Mehmet Kaya</t>
        </is>
      </c>
      <c r="E119" s="2" t="inlineStr">
        <is>
          <t>Bursa</t>
        </is>
      </c>
      <c r="F119" s="2" t="inlineStr">
        <is>
          <t>Merkez</t>
        </is>
      </c>
      <c r="G119" s="2" t="inlineStr">
        <is>
          <t>Elektrik</t>
        </is>
      </c>
      <c r="H119" s="3" t="n">
        <v>15848</v>
      </c>
      <c r="I119" s="3" t="n">
        <v>16319</v>
      </c>
      <c r="J119" s="3" t="n">
        <v>471</v>
      </c>
      <c r="K119" s="2" t="inlineStr">
        <is>
          <t>kWh</t>
        </is>
      </c>
      <c r="L119" s="4" t="n">
        <v>7.49</v>
      </c>
      <c r="M119" s="4" t="n">
        <v>3527.79</v>
      </c>
      <c r="N119" s="4" t="n">
        <v>25</v>
      </c>
      <c r="O119" s="4" t="n">
        <v>639.5</v>
      </c>
      <c r="P119" s="4" t="n">
        <v>4192.29</v>
      </c>
    </row>
    <row r="120">
      <c r="A120" s="2" t="inlineStr">
        <is>
          <t>FTR20241119</t>
        </is>
      </c>
      <c r="B120" s="2" t="inlineStr">
        <is>
          <t>20.12.2024</t>
        </is>
      </c>
      <c r="C120" s="2" t="inlineStr">
        <is>
          <t>H34119</t>
        </is>
      </c>
      <c r="D120" s="2" t="inlineStr">
        <is>
          <t>Fatma Şahin</t>
        </is>
      </c>
      <c r="E120" s="2" t="inlineStr">
        <is>
          <t>Antalya</t>
        </is>
      </c>
      <c r="F120" s="2" t="inlineStr">
        <is>
          <t>Merkez</t>
        </is>
      </c>
      <c r="G120" s="2" t="inlineStr">
        <is>
          <t>Su</t>
        </is>
      </c>
      <c r="H120" s="3" t="n">
        <v>3557</v>
      </c>
      <c r="I120" s="3" t="n">
        <v>3594</v>
      </c>
      <c r="J120" s="3" t="n">
        <v>37</v>
      </c>
      <c r="K120" s="2" t="inlineStr">
        <is>
          <t>m³</t>
        </is>
      </c>
      <c r="L120" s="4" t="n">
        <v>9.83</v>
      </c>
      <c r="M120" s="4" t="n">
        <v>363.71</v>
      </c>
      <c r="N120" s="4" t="n">
        <v>15.5</v>
      </c>
      <c r="O120" s="4" t="n">
        <v>68.26000000000001</v>
      </c>
      <c r="P120" s="4" t="n">
        <v>447.47</v>
      </c>
    </row>
    <row r="121">
      <c r="A121" s="2" t="inlineStr">
        <is>
          <t>FTR20241120</t>
        </is>
      </c>
      <c r="B121" s="2" t="inlineStr">
        <is>
          <t>23.12.2024</t>
        </is>
      </c>
      <c r="C121" s="2" t="inlineStr">
        <is>
          <t>H34120</t>
        </is>
      </c>
      <c r="D121" s="2" t="inlineStr">
        <is>
          <t>Mehmet Kaya</t>
        </is>
      </c>
      <c r="E121" s="2" t="inlineStr">
        <is>
          <t>İzmir</t>
        </is>
      </c>
      <c r="F121" s="2" t="inlineStr">
        <is>
          <t>Konak</t>
        </is>
      </c>
      <c r="G121" s="2" t="inlineStr">
        <is>
          <t>Doğalgaz</t>
        </is>
      </c>
      <c r="H121" s="3" t="n">
        <v>11214</v>
      </c>
      <c r="I121" s="3" t="n">
        <v>11316</v>
      </c>
      <c r="J121" s="3" t="n">
        <v>102</v>
      </c>
      <c r="K121" s="2" t="inlineStr">
        <is>
          <t>m³</t>
        </is>
      </c>
      <c r="L121" s="4" t="n">
        <v>5.2</v>
      </c>
      <c r="M121" s="4" t="n">
        <v>530.4</v>
      </c>
      <c r="N121" s="4" t="n">
        <v>12</v>
      </c>
      <c r="O121" s="4" t="n">
        <v>97.63</v>
      </c>
      <c r="P121" s="4" t="n">
        <v>640.03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5" t="inlineStr">
        <is>
          <t>FATURA VERİSİ ÖZ ANALİZİ</t>
        </is>
      </c>
    </row>
    <row r="3">
      <c r="A3" s="6" t="inlineStr">
        <is>
          <t>Fatura Tipi</t>
        </is>
      </c>
      <c r="B3" s="6" t="inlineStr">
        <is>
          <t>Toplam Fatura Sayısı</t>
        </is>
      </c>
      <c r="C3" s="6" t="inlineStr">
        <is>
          <t>Toplam Tuketim Ücreti</t>
        </is>
      </c>
    </row>
    <row r="4">
      <c r="A4" t="inlineStr">
        <is>
          <t>Su</t>
        </is>
      </c>
      <c r="B4">
        <f>COUNTIF('Fatura Verileri'!G:G,"Su")</f>
        <v/>
      </c>
      <c r="C4" s="7">
        <f>SUMIF('Fatura Verileri'!G:G,"Su",'Fatura Verileri'!M:M)</f>
        <v/>
      </c>
    </row>
    <row r="5">
      <c r="A5" t="inlineStr">
        <is>
          <t>Elektrik</t>
        </is>
      </c>
      <c r="B5">
        <f>COUNTIF('Fatura Verileri'!G:G,"Elektrik")</f>
        <v/>
      </c>
      <c r="C5" s="7">
        <f>SUMIF('Fatura Verileri'!G:G,"Elektrik",'Fatura Verileri'!M:M)</f>
        <v/>
      </c>
    </row>
    <row r="6">
      <c r="A6" t="inlineStr">
        <is>
          <t>Doğalgaz</t>
        </is>
      </c>
      <c r="B6">
        <f>COUNTIF('Fatura Verileri'!G:G,"Doğalgaz")</f>
        <v/>
      </c>
      <c r="C6" s="7">
        <f>SUMIF('Fatura Verileri'!G:G,"Doğalgaz",'Fatura Verileri'!M:M)</f>
        <v/>
      </c>
    </row>
    <row r="7">
      <c r="A7" s="8" t="inlineStr">
        <is>
          <t>TOPLAM</t>
        </is>
      </c>
      <c r="B7" s="8">
        <f>SUM(B4:B6)</f>
        <v/>
      </c>
      <c r="C7" s="9">
        <f>SUM(C4:C6)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2026-04-17T12:25:18Z</dcterms:created>
  <dcterms:modified xmlns:dcterms="http://purl.org/dc/terms/" xmlns:xsi="http://www.w3.org/2001/XMLSchema-instance" xsi:type="dcterms:W3CDTF">2026-04-17T12:25:18Z</dcterms:modified>
</cp:coreProperties>
</file>